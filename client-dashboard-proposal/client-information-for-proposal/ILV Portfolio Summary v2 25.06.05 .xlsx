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netorgft12321953-my.sharepoint.com/personal/daniel_silva_leonvioleta_com/Documents/ILV Financials &amp; Operations/Financials/ILV Financial Models/Financial summary files/"/>
    </mc:Choice>
  </mc:AlternateContent>
  <xr:revisionPtr revIDLastSave="38" documentId="8_{D8D395BC-BF3A-4696-B7FE-0747D2E2186B}" xr6:coauthVersionLast="47" xr6:coauthVersionMax="47" xr10:uidLastSave="{DF75C151-23C2-4FE7-9176-5BE749460AE8}"/>
  <bookViews>
    <workbookView xWindow="-108" yWindow="-108" windowWidth="23256" windowHeight="13896" xr2:uid="{B59EB678-EF92-4B24-A1B1-AFDBF471ECCA}"/>
  </bookViews>
  <sheets>
    <sheet name="Allocation Summary" sheetId="2" r:id="rId1"/>
    <sheet name="Detail May2025" sheetId="4" r:id="rId2"/>
    <sheet name="Detail Dec2024" sheetId="1" state="hidden" r:id="rId3"/>
  </sheets>
  <externalReferences>
    <externalReference r:id="rId4"/>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 i="4" l="1"/>
  <c r="F39" i="4"/>
  <c r="F38" i="4"/>
  <c r="F37" i="4"/>
  <c r="F36" i="4"/>
  <c r="F35" i="4"/>
  <c r="F31" i="4"/>
  <c r="F30" i="4"/>
  <c r="F29" i="4"/>
  <c r="F28" i="4"/>
  <c r="F27" i="4"/>
  <c r="F32" i="4" s="1"/>
  <c r="F23" i="4"/>
  <c r="F24" i="4" s="1"/>
  <c r="F19" i="4"/>
  <c r="F18" i="4"/>
  <c r="F12" i="4"/>
  <c r="F11" i="4"/>
  <c r="F10" i="4"/>
  <c r="F9" i="4"/>
  <c r="J71" i="2"/>
  <c r="J70" i="2"/>
  <c r="J69" i="2"/>
  <c r="J68" i="2"/>
  <c r="J72" i="2" s="1"/>
  <c r="J61" i="2"/>
  <c r="J60" i="2"/>
  <c r="J53" i="2"/>
  <c r="J48" i="2"/>
  <c r="F13" i="4" l="1"/>
  <c r="J55" i="2"/>
  <c r="J119" i="2" l="1"/>
  <c r="H119" i="2"/>
  <c r="E119" i="2"/>
  <c r="E137" i="2" s="1"/>
  <c r="F113" i="2" l="1"/>
  <c r="F111" i="2"/>
  <c r="F107" i="2"/>
  <c r="F101" i="2"/>
  <c r="F129" i="2"/>
  <c r="F127" i="2"/>
  <c r="F119" i="2"/>
  <c r="J129" i="2"/>
  <c r="H129" i="2"/>
  <c r="H117" i="2"/>
  <c r="J116" i="2"/>
  <c r="J115" i="2"/>
  <c r="J114" i="2"/>
  <c r="H113" i="2"/>
  <c r="H109" i="2"/>
  <c r="J109" i="2" s="1"/>
  <c r="J108" i="2"/>
  <c r="H107" i="2"/>
  <c r="J105" i="2"/>
  <c r="H105" i="2"/>
  <c r="H101" i="2"/>
  <c r="J25" i="2"/>
  <c r="J26" i="2"/>
  <c r="J18" i="2"/>
  <c r="J24" i="2"/>
  <c r="H31" i="2"/>
  <c r="J31" i="2"/>
  <c r="J39" i="2" s="1"/>
  <c r="J15" i="2"/>
  <c r="J58" i="2" s="1"/>
  <c r="H23" i="2"/>
  <c r="H17" i="2"/>
  <c r="H11" i="2"/>
  <c r="E39" i="2"/>
  <c r="F29" i="2" s="1"/>
  <c r="H27" i="2"/>
  <c r="H19" i="2"/>
  <c r="J19" i="2" s="1"/>
  <c r="J59" i="2" s="1"/>
  <c r="H15" i="2"/>
  <c r="E42" i="4"/>
  <c r="F42" i="4" s="1"/>
  <c r="D42" i="4"/>
  <c r="E39" i="4"/>
  <c r="D39" i="4"/>
  <c r="E17" i="4"/>
  <c r="F17" i="4" s="1"/>
  <c r="J62" i="2" l="1"/>
  <c r="J64" i="2" s="1"/>
  <c r="J66" i="2" s="1"/>
  <c r="F137" i="2"/>
  <c r="J137" i="2"/>
  <c r="K129" i="2" s="1"/>
  <c r="H137" i="2"/>
  <c r="F31" i="2"/>
  <c r="H39" i="2"/>
  <c r="K29" i="2"/>
  <c r="K21" i="2"/>
  <c r="K17" i="2"/>
  <c r="K31" i="2"/>
  <c r="K23" i="2"/>
  <c r="K11" i="2"/>
  <c r="F11" i="2"/>
  <c r="F23" i="2"/>
  <c r="F17" i="2"/>
  <c r="F21" i="2"/>
  <c r="E13" i="4"/>
  <c r="D13" i="4"/>
  <c r="D41" i="4" s="1"/>
  <c r="E32" i="4"/>
  <c r="D32" i="4"/>
  <c r="E24" i="4"/>
  <c r="D24" i="4"/>
  <c r="D20" i="4"/>
  <c r="E16" i="4"/>
  <c r="F16" i="4" s="1"/>
  <c r="F20" i="4" s="1"/>
  <c r="E41" i="4" l="1"/>
  <c r="K39" i="2"/>
  <c r="F39" i="2"/>
  <c r="K127" i="2"/>
  <c r="K113" i="2"/>
  <c r="K111" i="2"/>
  <c r="K107" i="2"/>
  <c r="K101" i="2"/>
  <c r="K119" i="2"/>
  <c r="D43" i="4"/>
  <c r="D44" i="4" s="1"/>
  <c r="E20" i="4"/>
  <c r="E43" i="4" s="1"/>
  <c r="E44" i="4" l="1"/>
  <c r="F43" i="4"/>
  <c r="K137" i="2"/>
  <c r="D39" i="1"/>
  <c r="E15" i="1"/>
  <c r="E19" i="1" s="1"/>
  <c r="E36" i="1"/>
  <c r="D36" i="1"/>
  <c r="E31" i="1"/>
  <c r="D31" i="1"/>
  <c r="E23" i="1"/>
  <c r="D23" i="1"/>
  <c r="D19" i="1"/>
  <c r="E12" i="1"/>
  <c r="E38" i="1" s="1"/>
  <c r="D12" i="1"/>
  <c r="D38" i="1" s="1"/>
  <c r="E40" i="1" l="1"/>
  <c r="D40" i="1"/>
  <c r="E3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Silva</author>
  </authors>
  <commentList>
    <comment ref="H8" authorId="0" shapeId="0" xr:uid="{0733D072-E9A2-4ACB-8EB7-39D1EB5E3124}">
      <text>
        <r>
          <rPr>
            <b/>
            <sz val="9"/>
            <color indexed="81"/>
            <rFont val="Tahoma"/>
            <family val="2"/>
          </rPr>
          <t>Daniel Silva:</t>
        </r>
        <r>
          <rPr>
            <sz val="9"/>
            <color indexed="81"/>
            <rFont val="Tahoma"/>
            <family val="2"/>
          </rPr>
          <t xml:space="preserve">
No se muestran inversiones "tácticas" (ej. Fondos de Liquidez Oro, BTC actual para simplificar análisis - no confundir montos con compromisos no desembolsados.</t>
        </r>
      </text>
    </comment>
    <comment ref="H98" authorId="0" shapeId="0" xr:uid="{624FC148-9639-4AFA-BE13-E43F0A5CEBE2}">
      <text>
        <r>
          <rPr>
            <b/>
            <sz val="9"/>
            <color indexed="81"/>
            <rFont val="Tahoma"/>
            <family val="2"/>
          </rPr>
          <t>Daniel Silva:</t>
        </r>
        <r>
          <rPr>
            <sz val="9"/>
            <color indexed="81"/>
            <rFont val="Tahoma"/>
            <family val="2"/>
          </rPr>
          <t xml:space="preserve">
No se muestran inversiones "tácticas" (ej. Fondos de Liquidez Oro, BTC actual para simplificar análisis - no confundir montos con compromisos no desembolsados.</t>
        </r>
      </text>
    </comment>
    <comment ref="C119" authorId="0" shapeId="0" xr:uid="{A0F2D10E-846D-480D-A3EC-2D572888FB60}">
      <text>
        <r>
          <rPr>
            <b/>
            <sz val="9"/>
            <color indexed="81"/>
            <rFont val="Tahoma"/>
            <family val="2"/>
          </rPr>
          <t>Daniel Silva:</t>
        </r>
        <r>
          <rPr>
            <sz val="9"/>
            <color indexed="81"/>
            <rFont val="Tahoma"/>
            <family val="2"/>
          </rPr>
          <t xml:space="preserve">
No se muestra Alchemy, cuyo valor esperado de salvamento puede ser cercano a cero.</t>
        </r>
      </text>
    </comment>
  </commentList>
</comments>
</file>

<file path=xl/sharedStrings.xml><?xml version="1.0" encoding="utf-8"?>
<sst xmlns="http://schemas.openxmlformats.org/spreadsheetml/2006/main" count="293" uniqueCount="154">
  <si>
    <t>Investment Portfolio Summary</t>
  </si>
  <si>
    <t>Overview of Current Portfolio Holdings</t>
  </si>
  <si>
    <t>As of December 31, 2024</t>
  </si>
  <si>
    <t>Asset Name</t>
  </si>
  <si>
    <t>Investment Date</t>
  </si>
  <si>
    <t>Investment Outlook</t>
  </si>
  <si>
    <t>Search Fund Investments</t>
  </si>
  <si>
    <t>Ambit Partners Fund II</t>
  </si>
  <si>
    <t>December 2024</t>
  </si>
  <si>
    <t>Positive - Fund has made strong progress with 13 search fund investments across 11 countries from a pipeline of 177 opportunities. First acquisitions expected in H1 2025.</t>
  </si>
  <si>
    <t>Vonzeo Capital Partners Fund III</t>
  </si>
  <si>
    <t>Positive - Building on success of previous funds. Strong dealflow with 50-60 active searchers. Geographic diversification across Europe, Latin America and North America provides multiple avenues for value creation.</t>
  </si>
  <si>
    <t>Positive - Targeting established European companies with €1-3M EBITDA. Lower entry valuations and succession opportunities create attractive acquisition environment.</t>
  </si>
  <si>
    <t>Venture Capital Investments</t>
  </si>
  <si>
    <t>July 2024</t>
  </si>
  <si>
    <t>Neutral - Fund has deployed ~70% of capital across 24 companies in 11 countries. Currently valued at slightly below 1x TVPI due to write-down of one portfolio company. Early portfolio development stage with significant follow-on investing planned for 2025.</t>
  </si>
  <si>
    <t>K50 Flagship Fund III</t>
  </si>
  <si>
    <t>June 2024</t>
  </si>
  <si>
    <t>Positive - Early momentum with 1.3x TVPI (22% increase) after first year. Top 6 portfolio companies have grown to combined $18.6M ARR from virtually zero at investment. Strong alignment with investment theses.</t>
  </si>
  <si>
    <t>Monashees Fund XI</t>
  </si>
  <si>
    <t>Neutral to Positive - Closing postponed due to slower deployment of Fund X. Strong historical track record (3x+ multiples) creates confidence in long-term performance despite short-term delays.</t>
  </si>
  <si>
    <t>Diversified Investments</t>
  </si>
  <si>
    <t>CAZ Special Opportunities Fund</t>
  </si>
  <si>
    <t>March 2024</t>
  </si>
  <si>
    <t>Positive - Diversified portfolio across multiple private market strategies (45.2% Secondaries, 14.3% Primaries, 13.3% Co-Investments, 4.9% Direct investments). Strong positioning in GP Stakes (28.0%) and Venture (11.9%).</t>
  </si>
  <si>
    <t>Positive - Focus on agrifood technology addresses growing sustainability demands. Series B focus balances growth potential with reduced early-stage risk.</t>
  </si>
  <si>
    <t>Legacy Investments</t>
  </si>
  <si>
    <t>Afluenta</t>
  </si>
  <si>
    <t>March 2022</t>
  </si>
  <si>
    <t>Negative - Severe financial distress with staff reduced from 70 to 22 employees. Two-month cash runway with constant capital injections required. Potential exit through exchange for Ripio shares represents possible recovery path.</t>
  </si>
  <si>
    <t>Alchemy Crypto Mining</t>
  </si>
  <si>
    <t>April 2022</t>
  </si>
  <si>
    <t>Negative - Operations entirely halted after energy supplier dispute. Equipment seized with rapidly depreciating value. Liquidation process in progress to recover remaining value, estimated at $180-200k.</t>
  </si>
  <si>
    <t>BlocPal</t>
  </si>
  <si>
    <t>Neutral - India operations profitable ($40M annual revenue, $400k semi-annual profit). North American operations not yet profitable. Funding round in progress for additional growth capital. Success hinges on completing current C$5M funding round.</t>
  </si>
  <si>
    <t>Genesis VC</t>
  </si>
  <si>
    <t>Negative - Underperformed Bitcoin in 2024 (down 9% vs. Bitcoin up 66%). Strategic focus on Ethereum and AI tokens rather than Bitcoin led to underperformance.</t>
  </si>
  <si>
    <t>Marmoniel Loan</t>
  </si>
  <si>
    <t>Negative - No interest payments received to date. Accruing at default rate (20%). Potential exchange for Ripio shares under evaluation.</t>
  </si>
  <si>
    <t>Physical Gold</t>
  </si>
  <si>
    <t>September 2024</t>
  </si>
  <si>
    <t>Positive - 387.14 oz purchased at $2,589/oz, valued at $2,607/oz as of December 31, 2024. Continued appreciation to $3,148/oz by March 2025.</t>
  </si>
  <si>
    <t>Public Equities (John Cole Strategy)</t>
  </si>
  <si>
    <t>Neutral - Initial positions in Centene Corp, Methode Electronics, Sturm Ruger &amp; Co, and Ituran Location and Control. Early stage of implementation with performance tracking in progress.</t>
  </si>
  <si>
    <t>Asset Category</t>
  </si>
  <si>
    <t>Total Commitment</t>
  </si>
  <si>
    <t>November 2022</t>
  </si>
  <si>
    <t>June 2023</t>
  </si>
  <si>
    <t>Other Investments</t>
  </si>
  <si>
    <t>Subtotal</t>
  </si>
  <si>
    <t>May 2024</t>
  </si>
  <si>
    <t>Notes:</t>
  </si>
  <si>
    <r>
      <t xml:space="preserve">Capital Calls Paid </t>
    </r>
    <r>
      <rPr>
        <b/>
        <vertAlign val="superscript"/>
        <sz val="11"/>
        <color theme="0"/>
        <rFont val="Aptos Narrow"/>
        <family val="2"/>
        <scheme val="minor"/>
      </rPr>
      <t>1</t>
    </r>
  </si>
  <si>
    <t>1. Capital Calls shown up to March 31, 2025</t>
  </si>
  <si>
    <r>
      <t xml:space="preserve">Relay Europe </t>
    </r>
    <r>
      <rPr>
        <b/>
        <vertAlign val="superscript"/>
        <sz val="11"/>
        <color theme="1"/>
        <rFont val="Aptos Narrow"/>
        <family val="2"/>
        <scheme val="minor"/>
      </rPr>
      <t>2</t>
    </r>
  </si>
  <si>
    <t>&gt;</t>
  </si>
  <si>
    <t>2. Relay Europe commitment EUR 500k, shown in USD equivalent. Commitment made in December 2024, formally closed in March 2025</t>
  </si>
  <si>
    <r>
      <t xml:space="preserve">Carao Ventures Fund I  </t>
    </r>
    <r>
      <rPr>
        <b/>
        <vertAlign val="superscript"/>
        <sz val="11"/>
        <color theme="1"/>
        <rFont val="Aptos Narrow"/>
        <family val="2"/>
        <scheme val="minor"/>
      </rPr>
      <t>3</t>
    </r>
  </si>
  <si>
    <t>3. Carao capital calls include USD 136,189 received as part of Orquidea termination and USD 51,424 paid with ILV cash through March 2025</t>
  </si>
  <si>
    <r>
      <t xml:space="preserve">Zebra Growth Fund I </t>
    </r>
    <r>
      <rPr>
        <b/>
        <vertAlign val="superscript"/>
        <sz val="11"/>
        <color theme="1"/>
        <rFont val="Aptos Narrow"/>
        <family val="2"/>
        <scheme val="minor"/>
      </rPr>
      <t>4</t>
    </r>
  </si>
  <si>
    <t>4. Zebra Growth commitment EUR 500k, shown in USD equivalent</t>
  </si>
  <si>
    <t>Total ILV</t>
  </si>
  <si>
    <r>
      <t xml:space="preserve">Total Legacy </t>
    </r>
    <r>
      <rPr>
        <b/>
        <vertAlign val="superscript"/>
        <sz val="11"/>
        <color theme="1"/>
        <rFont val="Aptos Narrow"/>
        <family val="2"/>
        <scheme val="minor"/>
      </rPr>
      <t>5</t>
    </r>
  </si>
  <si>
    <t>6. Refers to assets not directly held by ILV</t>
  </si>
  <si>
    <t>5. ILV invested USD 500k in BlocPal. Additional USD 500k by ILV related entities</t>
  </si>
  <si>
    <t>Total ILV &amp; Legacy</t>
  </si>
  <si>
    <t>Ambit</t>
  </si>
  <si>
    <t>Vonzeo</t>
  </si>
  <si>
    <t>Monashees</t>
  </si>
  <si>
    <t>K50</t>
  </si>
  <si>
    <t>CAZ SOF</t>
  </si>
  <si>
    <t>%</t>
  </si>
  <si>
    <t>March 2025</t>
  </si>
  <si>
    <t>As of May 22, 2025</t>
  </si>
  <si>
    <t>Netherwood Capital Partners</t>
  </si>
  <si>
    <t>May 2025</t>
  </si>
  <si>
    <t xml:space="preserve">Positive - Fund has made strong progress with 13 search fund investments across 11 countries from a pipeline of 177 opportunities. First acquisitions expected in H1 2025.
</t>
  </si>
  <si>
    <t xml:space="preserve">Positive - Targeting established European companies with €1-3M EBITDA. Lower entry valuations and succession opportunities create attractive acquisition environment.
</t>
  </si>
  <si>
    <t xml:space="preserve">Neutral - Fund has deployed ~70% of capital across 24 companies in 11 countries. Currently valued at slightly below 1x TVPI due to write-down of one portfolio company. Early portfolio development stage with significant follow-on investing planned for 2025.
</t>
  </si>
  <si>
    <t xml:space="preserve">Positive - Focus on agrifood technology addresses growing sustainability demands. Series B focus balances growth potential with reduced early-stage risk.
</t>
  </si>
  <si>
    <t xml:space="preserve">The Estate by SBE </t>
  </si>
  <si>
    <t>Positive - participation in Sam Nazarian led luxury hospitality and wellness real estate operation company.</t>
  </si>
  <si>
    <t>Notes</t>
  </si>
  <si>
    <t>Isis originally invested USD 250k in Orquidea JV. ILV recovered USD 136k received as Roberto Ponce's participation in Carao Ventures (received as face value as of June 2024). Subsequent capital calls to the fund have been paid by ILV.</t>
  </si>
  <si>
    <t>Investment done by Isis. Analysis and monitoring done by ILV.</t>
  </si>
  <si>
    <t>Isis originally invested USD 500k and ILV USD 500k. Monitoring done by ILV.</t>
  </si>
  <si>
    <t>Investment done by Isis.</t>
  </si>
  <si>
    <t>IBID Orquidea JV comment. Marmoniel Loan for USD 44k was received as remaining value from the transaction with Ponce.</t>
  </si>
  <si>
    <r>
      <t xml:space="preserve">BlocPal </t>
    </r>
    <r>
      <rPr>
        <b/>
        <vertAlign val="superscript"/>
        <sz val="11"/>
        <color theme="1"/>
        <rFont val="Aptos Narrow"/>
        <family val="2"/>
        <scheme val="minor"/>
      </rPr>
      <t>5</t>
    </r>
  </si>
  <si>
    <r>
      <t xml:space="preserve">Total Legacy </t>
    </r>
    <r>
      <rPr>
        <b/>
        <vertAlign val="superscript"/>
        <sz val="11"/>
        <color theme="1"/>
        <rFont val="Aptos Narrow"/>
        <family val="2"/>
        <scheme val="minor"/>
      </rPr>
      <t>6</t>
    </r>
  </si>
  <si>
    <t xml:space="preserve">Positive - Search phase fundraise closed with 105% oversubscription. Argentina macro outlook is positive for the strategy.
</t>
  </si>
  <si>
    <t>ILV Investment Portfolio Summary</t>
  </si>
  <si>
    <t>ILV Investment Strategy &amp; Allocation Summary</t>
  </si>
  <si>
    <t>Jose Barrientos Loan</t>
  </si>
  <si>
    <t>Funds of Search Funds</t>
  </si>
  <si>
    <t>Mezzanine</t>
  </si>
  <si>
    <t>$</t>
  </si>
  <si>
    <t>6. Refers to assets not directly held by ILV. Carao investment shown 100% as ILV asset for reporting ease</t>
  </si>
  <si>
    <t>Relay Europe</t>
  </si>
  <si>
    <t>Search Fund Acquisitions and Search Capital</t>
  </si>
  <si>
    <t>Netherwood Argentina</t>
  </si>
  <si>
    <t>Carao</t>
  </si>
  <si>
    <t>Other Assets</t>
  </si>
  <si>
    <t>The Estate by SBE</t>
  </si>
  <si>
    <t>Bitcoin</t>
  </si>
  <si>
    <t>Argentina</t>
  </si>
  <si>
    <t>Value Investing</t>
  </si>
  <si>
    <t>Latam Venture Capital</t>
  </si>
  <si>
    <t>Available for new commitments</t>
  </si>
  <si>
    <t>Mantener allocation objetivo de $3M</t>
  </si>
  <si>
    <t>Mantener allocation objetivo de $2.5M</t>
  </si>
  <si>
    <t>Mantener allocation comprometida de $2M</t>
  </si>
  <si>
    <t>Eliminar allocation a inversiones mezzanine</t>
  </si>
  <si>
    <t>Estrategia Tech (AI, Robotics, eVTOLs)</t>
  </si>
  <si>
    <t>Definir allocation para Estrategia Tech y Value Investing</t>
  </si>
  <si>
    <t>Target Allocation según Estrategia Junio 2024</t>
  </si>
  <si>
    <t>Compromisos e inversiones a Mayo 2025</t>
  </si>
  <si>
    <t>Nuevo Target Allocation según Estrategia 2025</t>
  </si>
  <si>
    <t>Notas y sugerencias</t>
  </si>
  <si>
    <t>Estrategia de allocation - únicamente portafolio ILV sin contar inversiones anteriores a 2023</t>
  </si>
  <si>
    <t>Legacy Venture Capital (incluye port. Isis)</t>
  </si>
  <si>
    <t>Total ILV + Legacy</t>
  </si>
  <si>
    <t>Zebra Growth Fund</t>
  </si>
  <si>
    <t>Portafolio ILV + Inversiones anteriores a 2023 y otras de ISIS</t>
  </si>
  <si>
    <t>Suspender nuevas inversiones VC Latam. Mantener únicamente compromisos existentes de $950k</t>
  </si>
  <si>
    <t>Compromisos realizados a Mayo 2025</t>
  </si>
  <si>
    <t>USD miles</t>
  </si>
  <si>
    <t>(A) Disponible ILV</t>
  </si>
  <si>
    <t>Fondo Liquidez JPM</t>
  </si>
  <si>
    <t>Oro en lingote</t>
  </si>
  <si>
    <t>Total cash y activos liquidables</t>
  </si>
  <si>
    <t>(B) Activos a reinvertir ILV</t>
  </si>
  <si>
    <t>Blocpal</t>
  </si>
  <si>
    <t>Ripio</t>
  </si>
  <si>
    <t>Activos a reinvertir Isis -&gt; ILV</t>
  </si>
  <si>
    <t>(C = A + B) Total potencial disponible para inversión</t>
  </si>
  <si>
    <t>(D) Compromisos pendientes</t>
  </si>
  <si>
    <t>Fondos Seach Funds (actuales y futuros)</t>
  </si>
  <si>
    <t>Search Funds y Equity Gaps (actuales y futuros)</t>
  </si>
  <si>
    <t>Fondos VC</t>
  </si>
  <si>
    <t>CAZ</t>
  </si>
  <si>
    <t>Total compromisos pendientes</t>
  </si>
  <si>
    <t>(E = C - D) Disponible para BTC, Argentina, Value Invest, Tech</t>
  </si>
  <si>
    <t>Portafolio actual Value Investing y GOOG (a costo)</t>
  </si>
  <si>
    <t>Hipótesis de allocation activos adicionales</t>
  </si>
  <si>
    <t>Estrategia Tech</t>
  </si>
  <si>
    <t>Total activos adicionales</t>
  </si>
  <si>
    <t>Fuentes y Usos de Capital (USD k)</t>
  </si>
  <si>
    <t>Capital Calls Remaining</t>
  </si>
  <si>
    <t>Net Asset Value</t>
  </si>
  <si>
    <t>Gain / (Loss) 
$</t>
  </si>
  <si>
    <t>Gain / (Loss) 
%</t>
  </si>
  <si>
    <t>Annualized return %</t>
  </si>
  <si>
    <t>Developments and Outlook
as of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</si>
</sst>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1" formatCode="_(* #,##0_);_(* \(#,##0\);_(* &quot;-&quot;_);_(@_)"/>
    <numFmt numFmtId="164" formatCode="[$€-2]\ #,##0;[Red]\-[$€-2]\ #,##0"/>
  </numFmts>
  <fonts count="17" x14ac:knownFonts="1">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b/>
      <sz val="11"/>
      <color theme="0"/>
      <name val="Aptos Narrow"/>
      <family val="2"/>
      <scheme val="minor"/>
    </font>
    <font>
      <b/>
      <u/>
      <sz val="11"/>
      <color theme="1"/>
      <name val="Aptos Narrow"/>
      <family val="2"/>
      <scheme val="minor"/>
    </font>
    <font>
      <b/>
      <vertAlign val="superscript"/>
      <sz val="11"/>
      <color theme="1"/>
      <name val="Aptos Narrow"/>
      <family val="2"/>
      <scheme val="minor"/>
    </font>
    <font>
      <b/>
      <vertAlign val="superscript"/>
      <sz val="11"/>
      <color theme="0"/>
      <name val="Aptos Narrow"/>
      <family val="2"/>
      <scheme val="minor"/>
    </font>
    <font>
      <b/>
      <sz val="11"/>
      <color theme="1" tint="4.9989318521683403E-2"/>
      <name val="Aptos Narrow"/>
      <family val="2"/>
      <scheme val="minor"/>
    </font>
    <font>
      <b/>
      <sz val="9"/>
      <color theme="1"/>
      <name val="Aptos Narrow"/>
      <family val="2"/>
      <scheme val="minor"/>
    </font>
    <font>
      <b/>
      <sz val="14"/>
      <color theme="1"/>
      <name val="Aptos Narrow"/>
      <family val="2"/>
      <scheme val="minor"/>
    </font>
    <font>
      <b/>
      <sz val="12"/>
      <color theme="1"/>
      <name val="Aptos Narrow"/>
      <family val="2"/>
      <scheme val="minor"/>
    </font>
    <font>
      <i/>
      <sz val="11"/>
      <color theme="1"/>
      <name val="Aptos Narrow"/>
      <family val="2"/>
      <scheme val="minor"/>
    </font>
    <font>
      <b/>
      <u/>
      <sz val="14"/>
      <color theme="1"/>
      <name val="Aptos Narrow"/>
      <family val="2"/>
      <scheme val="minor"/>
    </font>
    <font>
      <u/>
      <sz val="11"/>
      <color theme="1"/>
      <name val="Aptos Narrow"/>
      <family val="2"/>
      <scheme val="minor"/>
    </font>
    <font>
      <sz val="9"/>
      <color indexed="81"/>
      <name val="Tahoma"/>
      <family val="2"/>
    </font>
    <font>
      <b/>
      <sz val="9"/>
      <color indexed="81"/>
      <name val="Tahoma"/>
      <family val="2"/>
    </font>
  </fonts>
  <fills count="11">
    <fill>
      <patternFill patternType="none"/>
    </fill>
    <fill>
      <patternFill patternType="gray125"/>
    </fill>
    <fill>
      <patternFill patternType="solid">
        <fgColor theme="9" tint="-0.249977111117893"/>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8"/>
        <bgColor indexed="64"/>
      </patternFill>
    </fill>
    <fill>
      <patternFill patternType="solid">
        <fgColor theme="2" tint="-0.249977111117893"/>
        <bgColor indexed="64"/>
      </patternFill>
    </fill>
  </fills>
  <borders count="22">
    <border>
      <left/>
      <right/>
      <top/>
      <bottom/>
      <diagonal/>
    </border>
    <border>
      <left/>
      <right/>
      <top/>
      <bottom style="thin">
        <color indexed="64"/>
      </bottom>
      <diagonal/>
    </border>
    <border>
      <left/>
      <right/>
      <top/>
      <bottom style="hair">
        <color auto="1"/>
      </bottom>
      <diagonal/>
    </border>
    <border>
      <left/>
      <right/>
      <top style="hair">
        <color auto="1"/>
      </top>
      <bottom style="hair">
        <color auto="1"/>
      </bottom>
      <diagonal/>
    </border>
    <border>
      <left/>
      <right/>
      <top style="hair">
        <color auto="1"/>
      </top>
      <bottom style="thin">
        <color indexed="64"/>
      </bottom>
      <diagonal/>
    </border>
    <border>
      <left/>
      <right/>
      <top style="thin">
        <color indexed="64"/>
      </top>
      <bottom style="medium">
        <color indexed="64"/>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top/>
      <bottom style="hair">
        <color auto="1"/>
      </bottom>
      <diagonal/>
    </border>
    <border>
      <left/>
      <right style="hair">
        <color indexed="64"/>
      </right>
      <top/>
      <bottom style="hair">
        <color auto="1"/>
      </bottom>
      <diagonal/>
    </border>
    <border>
      <left style="hair">
        <color indexed="64"/>
      </left>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hair">
        <color indexed="64"/>
      </left>
      <right style="hair">
        <color indexed="64"/>
      </right>
      <top/>
      <bottom style="hair">
        <color auto="1"/>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style="thin">
        <color indexed="64"/>
      </top>
      <bottom/>
      <diagonal/>
    </border>
  </borders>
  <cellStyleXfs count="1">
    <xf numFmtId="0" fontId="0" fillId="0" borderId="0"/>
  </cellStyleXfs>
  <cellXfs count="122">
    <xf numFmtId="0" fontId="0" fillId="0" borderId="0" xfId="0"/>
    <xf numFmtId="0" fontId="2" fillId="0" borderId="0" xfId="0" applyFont="1" applyAlignment="1">
      <alignment vertical="center"/>
    </xf>
    <xf numFmtId="0" fontId="3" fillId="0" borderId="0" xfId="0" applyFont="1" applyAlignment="1">
      <alignment vertical="center"/>
    </xf>
    <xf numFmtId="0" fontId="4" fillId="2" borderId="0" xfId="0" applyFont="1" applyFill="1" applyAlignment="1">
      <alignment horizontal="left" vertical="top" wrapText="1"/>
    </xf>
    <xf numFmtId="0" fontId="4" fillId="2" borderId="0" xfId="0" applyFont="1" applyFill="1" applyAlignment="1">
      <alignment horizontal="center" vertical="top" wrapText="1"/>
    </xf>
    <xf numFmtId="0" fontId="4" fillId="0" borderId="0" xfId="0" applyFont="1" applyAlignment="1">
      <alignment horizontal="left" vertical="top" wrapText="1"/>
    </xf>
    <xf numFmtId="0" fontId="4" fillId="0" borderId="0" xfId="0" applyFont="1" applyAlignment="1">
      <alignment horizontal="center" vertical="top" wrapText="1"/>
    </xf>
    <xf numFmtId="0" fontId="5" fillId="0" borderId="0" xfId="0" applyFont="1" applyAlignment="1">
      <alignment vertical="top"/>
    </xf>
    <xf numFmtId="0" fontId="0" fillId="0" borderId="0" xfId="0" applyAlignment="1">
      <alignment vertical="top" wrapText="1"/>
    </xf>
    <xf numFmtId="6" fontId="0" fillId="0" borderId="0" xfId="0" applyNumberFormat="1" applyAlignment="1">
      <alignment horizontal="center" vertical="top" wrapText="1"/>
    </xf>
    <xf numFmtId="0" fontId="0" fillId="0" borderId="1" xfId="0" applyBorder="1" applyAlignment="1">
      <alignment vertical="top" wrapText="1"/>
    </xf>
    <xf numFmtId="6" fontId="0" fillId="0" borderId="1" xfId="0" applyNumberFormat="1" applyBorder="1" applyAlignment="1">
      <alignment horizontal="center" vertical="top" wrapText="1"/>
    </xf>
    <xf numFmtId="164" fontId="0" fillId="0" borderId="0" xfId="0" applyNumberFormat="1" applyAlignment="1">
      <alignment horizontal="center" vertical="top" wrapText="1"/>
    </xf>
    <xf numFmtId="0" fontId="0" fillId="0" borderId="0" xfId="0" applyAlignment="1">
      <alignment horizontal="center" vertical="top" wrapText="1"/>
    </xf>
    <xf numFmtId="17" fontId="0" fillId="0" borderId="0" xfId="0" applyNumberFormat="1" applyAlignment="1">
      <alignment vertical="top" wrapText="1"/>
    </xf>
    <xf numFmtId="0" fontId="0" fillId="0" borderId="0" xfId="0" applyAlignment="1">
      <alignment vertical="top"/>
    </xf>
    <xf numFmtId="0" fontId="0" fillId="0" borderId="2" xfId="0" applyBorder="1" applyAlignment="1">
      <alignment vertical="top" wrapText="1"/>
    </xf>
    <xf numFmtId="6" fontId="0" fillId="0" borderId="2" xfId="0" applyNumberFormat="1" applyBorder="1" applyAlignment="1">
      <alignment horizontal="center" vertical="top" wrapText="1"/>
    </xf>
    <xf numFmtId="0" fontId="0" fillId="0" borderId="3" xfId="0" applyBorder="1" applyAlignment="1">
      <alignment vertical="top" wrapText="1"/>
    </xf>
    <xf numFmtId="6" fontId="0" fillId="0" borderId="3" xfId="0" applyNumberFormat="1" applyBorder="1" applyAlignment="1">
      <alignment horizontal="center" vertical="top" wrapText="1"/>
    </xf>
    <xf numFmtId="0" fontId="0" fillId="0" borderId="4" xfId="0" applyBorder="1" applyAlignment="1">
      <alignment vertical="top" wrapText="1"/>
    </xf>
    <xf numFmtId="17" fontId="0" fillId="0" borderId="4" xfId="0" quotePrefix="1" applyNumberFormat="1" applyBorder="1" applyAlignment="1">
      <alignment vertical="top" wrapText="1"/>
    </xf>
    <xf numFmtId="6" fontId="0" fillId="0" borderId="4" xfId="0" applyNumberFormat="1" applyBorder="1" applyAlignment="1">
      <alignment horizontal="center" vertical="top" wrapText="1"/>
    </xf>
    <xf numFmtId="0" fontId="1" fillId="0" borderId="2" xfId="0" applyFont="1" applyBorder="1" applyAlignment="1">
      <alignment vertical="top" wrapText="1"/>
    </xf>
    <xf numFmtId="0" fontId="1" fillId="0" borderId="1"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0" xfId="0" applyFont="1" applyAlignment="1">
      <alignment vertical="top" wrapText="1"/>
    </xf>
    <xf numFmtId="6" fontId="1" fillId="0" borderId="0" xfId="0" applyNumberFormat="1" applyFont="1" applyAlignment="1">
      <alignment horizontal="center" vertical="top" wrapText="1"/>
    </xf>
    <xf numFmtId="0" fontId="5" fillId="0" borderId="0" xfId="0" applyFont="1" applyAlignment="1">
      <alignment vertical="top" wrapText="1"/>
    </xf>
    <xf numFmtId="0" fontId="1" fillId="4" borderId="0" xfId="0" applyFont="1" applyFill="1" applyAlignment="1">
      <alignment vertical="center" wrapText="1"/>
    </xf>
    <xf numFmtId="0" fontId="0" fillId="4" borderId="0" xfId="0" applyFill="1" applyAlignment="1">
      <alignment vertical="center" wrapText="1"/>
    </xf>
    <xf numFmtId="6" fontId="1" fillId="4" borderId="0" xfId="0" applyNumberFormat="1" applyFont="1" applyFill="1" applyAlignment="1">
      <alignment horizontal="center" vertical="center" wrapText="1"/>
    </xf>
    <xf numFmtId="0" fontId="1" fillId="6" borderId="0" xfId="0" applyFont="1" applyFill="1" applyAlignment="1">
      <alignment vertical="top" wrapText="1"/>
    </xf>
    <xf numFmtId="0" fontId="0" fillId="6" borderId="0" xfId="0" applyFill="1" applyAlignment="1">
      <alignment vertical="top" wrapText="1"/>
    </xf>
    <xf numFmtId="6" fontId="1" fillId="6" borderId="0" xfId="0" applyNumberFormat="1" applyFont="1" applyFill="1" applyAlignment="1">
      <alignment horizontal="center" vertical="top" wrapText="1"/>
    </xf>
    <xf numFmtId="0" fontId="1" fillId="3" borderId="2" xfId="0" applyFont="1" applyFill="1" applyBorder="1" applyAlignment="1">
      <alignment vertical="top" wrapText="1"/>
    </xf>
    <xf numFmtId="0" fontId="0" fillId="3" borderId="2" xfId="0" applyFill="1" applyBorder="1" applyAlignment="1">
      <alignment vertical="top" wrapText="1"/>
    </xf>
    <xf numFmtId="6" fontId="0" fillId="3" borderId="2" xfId="0" applyNumberFormat="1" applyFill="1" applyBorder="1" applyAlignment="1">
      <alignment horizontal="center" vertical="top" wrapText="1"/>
    </xf>
    <xf numFmtId="0" fontId="1" fillId="3" borderId="1" xfId="0" applyFont="1" applyFill="1" applyBorder="1" applyAlignment="1">
      <alignment vertical="top" wrapText="1"/>
    </xf>
    <xf numFmtId="0" fontId="0" fillId="3" borderId="1" xfId="0" applyFill="1" applyBorder="1" applyAlignment="1">
      <alignment vertical="top" wrapText="1"/>
    </xf>
    <xf numFmtId="6" fontId="0" fillId="3" borderId="1" xfId="0" applyNumberFormat="1" applyFill="1" applyBorder="1" applyAlignment="1">
      <alignment horizontal="center" vertical="top" wrapText="1"/>
    </xf>
    <xf numFmtId="0" fontId="1" fillId="3" borderId="3" xfId="0" applyFont="1" applyFill="1" applyBorder="1" applyAlignment="1">
      <alignment vertical="top" wrapText="1"/>
    </xf>
    <xf numFmtId="0" fontId="0" fillId="3" borderId="3" xfId="0" applyFill="1" applyBorder="1" applyAlignment="1">
      <alignment vertical="top" wrapText="1"/>
    </xf>
    <xf numFmtId="6" fontId="0" fillId="3" borderId="3" xfId="0" applyNumberFormat="1" applyFill="1" applyBorder="1" applyAlignment="1">
      <alignment horizontal="center" vertical="top" wrapText="1"/>
    </xf>
    <xf numFmtId="0" fontId="0" fillId="3" borderId="4" xfId="0" applyFill="1" applyBorder="1" applyAlignment="1">
      <alignment vertical="top" wrapText="1"/>
    </xf>
    <xf numFmtId="6" fontId="0" fillId="3" borderId="4" xfId="0" applyNumberFormat="1" applyFill="1" applyBorder="1" applyAlignment="1">
      <alignment horizontal="center" vertical="top" wrapText="1"/>
    </xf>
    <xf numFmtId="0" fontId="1" fillId="5" borderId="1" xfId="0" applyFont="1" applyFill="1" applyBorder="1" applyAlignment="1">
      <alignment vertical="center" wrapText="1"/>
    </xf>
    <xf numFmtId="0" fontId="0" fillId="5" borderId="1" xfId="0" applyFill="1" applyBorder="1" applyAlignment="1">
      <alignment vertical="center" wrapText="1"/>
    </xf>
    <xf numFmtId="6" fontId="1" fillId="5" borderId="1" xfId="0" applyNumberFormat="1" applyFont="1" applyFill="1" applyBorder="1" applyAlignment="1">
      <alignment horizontal="center" vertical="center" wrapText="1"/>
    </xf>
    <xf numFmtId="0" fontId="1" fillId="7" borderId="0" xfId="0" applyFont="1" applyFill="1" applyAlignment="1">
      <alignment vertical="top"/>
    </xf>
    <xf numFmtId="0" fontId="0" fillId="7" borderId="0" xfId="0" applyFill="1" applyAlignment="1">
      <alignment vertical="top" wrapText="1"/>
    </xf>
    <xf numFmtId="6" fontId="1" fillId="7" borderId="0" xfId="0" applyNumberFormat="1" applyFont="1" applyFill="1" applyAlignment="1">
      <alignment horizontal="center" vertical="center" wrapText="1"/>
    </xf>
    <xf numFmtId="0" fontId="1" fillId="3" borderId="4" xfId="0" applyFont="1" applyFill="1" applyBorder="1" applyAlignment="1">
      <alignment vertical="top" wrapText="1"/>
    </xf>
    <xf numFmtId="49" fontId="0" fillId="0" borderId="1" xfId="0" applyNumberFormat="1" applyBorder="1" applyAlignment="1">
      <alignment vertical="top" wrapText="1"/>
    </xf>
    <xf numFmtId="0" fontId="1" fillId="9" borderId="0" xfId="0" applyFont="1" applyFill="1" applyAlignment="1">
      <alignment vertical="top" wrapText="1"/>
    </xf>
    <xf numFmtId="0" fontId="0" fillId="9" borderId="0" xfId="0" applyFill="1" applyAlignment="1">
      <alignment vertical="top" wrapText="1"/>
    </xf>
    <xf numFmtId="6" fontId="1" fillId="9" borderId="0" xfId="0" applyNumberFormat="1" applyFont="1" applyFill="1" applyAlignment="1">
      <alignment horizontal="center" vertical="top" wrapText="1"/>
    </xf>
    <xf numFmtId="0" fontId="10" fillId="0" borderId="0" xfId="0" applyFont="1" applyAlignment="1">
      <alignment vertical="center"/>
    </xf>
    <xf numFmtId="0" fontId="11" fillId="0" borderId="0" xfId="0" applyFont="1" applyAlignment="1">
      <alignment vertical="center"/>
    </xf>
    <xf numFmtId="41" fontId="0" fillId="0" borderId="0" xfId="0" applyNumberFormat="1" applyAlignment="1">
      <alignment vertical="top" wrapText="1"/>
    </xf>
    <xf numFmtId="0" fontId="5" fillId="0" borderId="0" xfId="0" applyFont="1"/>
    <xf numFmtId="0" fontId="0" fillId="0" borderId="0" xfId="0" applyAlignment="1">
      <alignment horizontal="left" indent="1"/>
    </xf>
    <xf numFmtId="0" fontId="12" fillId="0" borderId="0" xfId="0" applyFont="1" applyAlignment="1">
      <alignment horizontal="left" indent="1"/>
    </xf>
    <xf numFmtId="0" fontId="12" fillId="0" borderId="0" xfId="0" applyFont="1"/>
    <xf numFmtId="0" fontId="0" fillId="0" borderId="2" xfId="0" applyBorder="1" applyAlignment="1">
      <alignment horizontal="left" indent="1"/>
    </xf>
    <xf numFmtId="0" fontId="0" fillId="0" borderId="2" xfId="0" applyBorder="1"/>
    <xf numFmtId="0" fontId="13" fillId="0" borderId="0" xfId="0" applyFont="1" applyAlignment="1">
      <alignment vertical="center"/>
    </xf>
    <xf numFmtId="0" fontId="8" fillId="8" borderId="5" xfId="0" applyFont="1" applyFill="1" applyBorder="1" applyAlignment="1">
      <alignment vertical="center"/>
    </xf>
    <xf numFmtId="3" fontId="8" fillId="8" borderId="5" xfId="0" applyNumberFormat="1" applyFont="1" applyFill="1" applyBorder="1" applyAlignment="1">
      <alignment vertical="center"/>
    </xf>
    <xf numFmtId="0" fontId="1" fillId="4" borderId="1" xfId="0" applyFont="1" applyFill="1" applyBorder="1"/>
    <xf numFmtId="0" fontId="0" fillId="4" borderId="1" xfId="0" applyFill="1" applyBorder="1"/>
    <xf numFmtId="0" fontId="0" fillId="7" borderId="0" xfId="0" applyFill="1" applyAlignment="1">
      <alignment vertical="top"/>
    </xf>
    <xf numFmtId="0" fontId="9" fillId="7" borderId="6" xfId="0" applyFont="1" applyFill="1" applyBorder="1" applyAlignment="1">
      <alignment horizontal="center" vertical="top" wrapText="1"/>
    </xf>
    <xf numFmtId="0" fontId="0" fillId="0" borderId="9" xfId="0" applyBorder="1" applyAlignment="1">
      <alignment horizontal="right"/>
    </xf>
    <xf numFmtId="0" fontId="0" fillId="0" borderId="10" xfId="0" applyBorder="1" applyAlignment="1">
      <alignment horizontal="right"/>
    </xf>
    <xf numFmtId="3" fontId="1" fillId="4" borderId="11" xfId="0" applyNumberFormat="1" applyFont="1" applyFill="1" applyBorder="1"/>
    <xf numFmtId="9" fontId="1" fillId="4" borderId="12" xfId="0" applyNumberFormat="1" applyFont="1" applyFill="1" applyBorder="1"/>
    <xf numFmtId="3" fontId="0" fillId="0" borderId="9" xfId="0" applyNumberFormat="1" applyBorder="1"/>
    <xf numFmtId="0" fontId="0" fillId="0" borderId="10" xfId="0" applyBorder="1"/>
    <xf numFmtId="3" fontId="0" fillId="0" borderId="13" xfId="0" applyNumberFormat="1" applyBorder="1"/>
    <xf numFmtId="0" fontId="0" fillId="0" borderId="14" xfId="0" applyBorder="1"/>
    <xf numFmtId="3" fontId="12" fillId="0" borderId="9" xfId="0" applyNumberFormat="1" applyFont="1" applyBorder="1"/>
    <xf numFmtId="0" fontId="12" fillId="0" borderId="10" xfId="0" applyFont="1" applyBorder="1"/>
    <xf numFmtId="0" fontId="0" fillId="0" borderId="9" xfId="0" applyBorder="1"/>
    <xf numFmtId="0" fontId="1" fillId="4" borderId="11" xfId="0" applyFont="1" applyFill="1" applyBorder="1"/>
    <xf numFmtId="0" fontId="0" fillId="0" borderId="13" xfId="0" applyBorder="1"/>
    <xf numFmtId="3" fontId="8" fillId="8" borderId="15" xfId="0" applyNumberFormat="1" applyFont="1" applyFill="1" applyBorder="1" applyAlignment="1">
      <alignment vertical="center"/>
    </xf>
    <xf numFmtId="0" fontId="0" fillId="0" borderId="17" xfId="0" applyBorder="1"/>
    <xf numFmtId="3" fontId="1" fillId="4" borderId="18" xfId="0" applyNumberFormat="1" applyFont="1" applyFill="1" applyBorder="1"/>
    <xf numFmtId="3" fontId="0" fillId="0" borderId="17" xfId="0" applyNumberFormat="1" applyBorder="1"/>
    <xf numFmtId="3" fontId="0" fillId="0" borderId="19" xfId="0" applyNumberFormat="1" applyBorder="1"/>
    <xf numFmtId="3" fontId="12" fillId="0" borderId="17" xfId="0" applyNumberFormat="1" applyFont="1" applyBorder="1"/>
    <xf numFmtId="0" fontId="1" fillId="4" borderId="18" xfId="0" applyFont="1" applyFill="1" applyBorder="1"/>
    <xf numFmtId="0" fontId="0" fillId="0" borderId="19" xfId="0" applyBorder="1"/>
    <xf numFmtId="3" fontId="8" fillId="8" borderId="20" xfId="0" applyNumberFormat="1" applyFont="1" applyFill="1" applyBorder="1" applyAlignment="1">
      <alignment vertical="center"/>
    </xf>
    <xf numFmtId="0" fontId="5" fillId="0" borderId="9" xfId="0" applyFont="1" applyBorder="1" applyAlignment="1">
      <alignment horizontal="right"/>
    </xf>
    <xf numFmtId="0" fontId="5" fillId="0" borderId="10" xfId="0" applyFont="1" applyBorder="1" applyAlignment="1">
      <alignment horizontal="right"/>
    </xf>
    <xf numFmtId="0" fontId="14" fillId="0" borderId="17" xfId="0" applyFont="1" applyBorder="1" applyAlignment="1">
      <alignment horizontal="right"/>
    </xf>
    <xf numFmtId="0" fontId="8" fillId="10" borderId="5" xfId="0" applyFont="1" applyFill="1" applyBorder="1" applyAlignment="1">
      <alignment vertical="center"/>
    </xf>
    <xf numFmtId="3" fontId="8" fillId="10" borderId="15" xfId="0" applyNumberFormat="1" applyFont="1" applyFill="1" applyBorder="1" applyAlignment="1">
      <alignment vertical="center"/>
    </xf>
    <xf numFmtId="3" fontId="8" fillId="10" borderId="5" xfId="0" applyNumberFormat="1" applyFont="1" applyFill="1" applyBorder="1" applyAlignment="1">
      <alignment vertical="center"/>
    </xf>
    <xf numFmtId="3" fontId="8" fillId="10" borderId="20" xfId="0" applyNumberFormat="1" applyFont="1" applyFill="1" applyBorder="1" applyAlignment="1">
      <alignment vertical="center"/>
    </xf>
    <xf numFmtId="9" fontId="8" fillId="8" borderId="16" xfId="0" applyNumberFormat="1" applyFont="1" applyFill="1" applyBorder="1" applyAlignment="1">
      <alignment vertical="center"/>
    </xf>
    <xf numFmtId="9" fontId="8" fillId="10" borderId="16" xfId="0" applyNumberFormat="1" applyFont="1" applyFill="1" applyBorder="1" applyAlignment="1">
      <alignment vertical="center"/>
    </xf>
    <xf numFmtId="3" fontId="0" fillId="0" borderId="21" xfId="0" applyNumberFormat="1" applyBorder="1"/>
    <xf numFmtId="0" fontId="9" fillId="7" borderId="0" xfId="0" applyFont="1" applyFill="1" applyAlignment="1">
      <alignment vertical="top" wrapText="1"/>
    </xf>
    <xf numFmtId="0" fontId="9" fillId="7" borderId="8" xfId="0" applyFont="1" applyFill="1" applyBorder="1" applyAlignment="1">
      <alignment horizontal="center" vertical="top" wrapText="1"/>
    </xf>
    <xf numFmtId="0" fontId="9" fillId="7" borderId="7" xfId="0" applyFont="1" applyFill="1" applyBorder="1" applyAlignment="1">
      <alignment horizontal="center" vertical="top" wrapText="1"/>
    </xf>
    <xf numFmtId="0" fontId="9" fillId="7" borderId="8" xfId="0" applyFont="1" applyFill="1" applyBorder="1" applyAlignment="1">
      <alignment vertical="top" wrapText="1"/>
    </xf>
    <xf numFmtId="0" fontId="9" fillId="7" borderId="7" xfId="0" applyFont="1" applyFill="1" applyBorder="1" applyAlignment="1">
      <alignment vertical="top" wrapText="1"/>
    </xf>
    <xf numFmtId="3" fontId="0" fillId="0" borderId="0" xfId="0" applyNumberFormat="1"/>
    <xf numFmtId="0" fontId="0" fillId="0" borderId="1" xfId="0" applyBorder="1"/>
    <xf numFmtId="3" fontId="0" fillId="0" borderId="1" xfId="0" applyNumberFormat="1" applyBorder="1"/>
    <xf numFmtId="0" fontId="1" fillId="0" borderId="0" xfId="0" applyFont="1"/>
    <xf numFmtId="3" fontId="1" fillId="0" borderId="0" xfId="0" applyNumberFormat="1" applyFont="1"/>
    <xf numFmtId="0" fontId="1" fillId="0" borderId="5" xfId="0" applyFont="1" applyBorder="1"/>
    <xf numFmtId="0" fontId="0" fillId="0" borderId="5" xfId="0" applyBorder="1"/>
    <xf numFmtId="3" fontId="1" fillId="0" borderId="5" xfId="0" applyNumberFormat="1" applyFont="1" applyBorder="1"/>
    <xf numFmtId="0" fontId="0" fillId="0" borderId="1" xfId="0" applyBorder="1" applyAlignment="1">
      <alignment horizontal="left" indent="1"/>
    </xf>
    <xf numFmtId="0" fontId="1" fillId="7" borderId="0" xfId="0" applyFont="1" applyFill="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s-US" b="1" u="sng"/>
              <a:t>Estrategia</a:t>
            </a:r>
            <a:r>
              <a:rPr lang="es-US" b="1" u="sng" baseline="0"/>
              <a:t> 2024 - Allocation Objetivo</a:t>
            </a:r>
            <a:endParaRPr lang="es-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3037720909886264"/>
          <c:y val="0.19486111111111112"/>
          <c:w val="0.43412270341207343"/>
          <c:h val="0.72353783902012236"/>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7B0-483E-AFE2-957D346309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A6-49A0-BE05-D225B08FF1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A6-49A0-BE05-D225B08FF1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A6-49A0-BE05-D225B08FF1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A6-49A0-BE05-D225B08FF1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1A6-49A0-BE05-D225B08FF19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1-E7B0-483E-AFE2-957D3463098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1A6-49A0-BE05-D225B08FF19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1A6-49A0-BE05-D225B08FF19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1A6-49A0-BE05-D225B08FF19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1A6-49A0-BE05-D225B08FF19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1A6-49A0-BE05-D225B08FF19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1A6-49A0-BE05-D225B08FF19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1A6-49A0-BE05-D225B08FF19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1A6-49A0-BE05-D225B08FF19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1A6-49A0-BE05-D225B08FF19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1A6-49A0-BE05-D225B08FF19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1A6-49A0-BE05-D225B08FF19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1A6-49A0-BE05-D225B08FF19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91A6-49A0-BE05-D225B08FF19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03-E7B0-483E-AFE2-957D34630981}"/>
              </c:ext>
            </c:extLst>
          </c:dPt>
          <c:dLbls>
            <c:dLbl>
              <c:idx val="0"/>
              <c:layout>
                <c:manualLayout>
                  <c:x val="-0.16273185036195142"/>
                  <c:y val="0.1366543812839674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B0-483E-AFE2-957D34630981}"/>
                </c:ext>
              </c:extLst>
            </c:dLbl>
            <c:dLbl>
              <c:idx val="6"/>
              <c:layout>
                <c:manualLayout>
                  <c:x val="-0.13053788010436435"/>
                  <c:y val="-0.20540259162615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B0-483E-AFE2-957D34630981}"/>
                </c:ext>
              </c:extLst>
            </c:dLbl>
            <c:dLbl>
              <c:idx val="20"/>
              <c:layout>
                <c:manualLayout>
                  <c:x val="8.5687321371130248E-2"/>
                  <c:y val="-4.61905999249856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B0-483E-AFE2-957D3463098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'Allocation Summary'!$B$11:$B$31</c:f>
              <c:strCache>
                <c:ptCount val="21"/>
                <c:pt idx="0">
                  <c:v>Funds of Search Funds</c:v>
                </c:pt>
                <c:pt idx="1">
                  <c:v>Ambit</c:v>
                </c:pt>
                <c:pt idx="2">
                  <c:v>Relay Europe</c:v>
                </c:pt>
                <c:pt idx="3">
                  <c:v>Vonzeo</c:v>
                </c:pt>
                <c:pt idx="4">
                  <c:v>Available for new commitments</c:v>
                </c:pt>
                <c:pt idx="6">
                  <c:v>Search Fund Acquisitions and Search Capital</c:v>
                </c:pt>
                <c:pt idx="7">
                  <c:v>Netherwood Argentina</c:v>
                </c:pt>
                <c:pt idx="8">
                  <c:v>Available for new commitments</c:v>
                </c:pt>
                <c:pt idx="10">
                  <c:v>CAZ SOF</c:v>
                </c:pt>
                <c:pt idx="12">
                  <c:v>Latam Venture Capital</c:v>
                </c:pt>
                <c:pt idx="13">
                  <c:v>Carao</c:v>
                </c:pt>
                <c:pt idx="14">
                  <c:v>K50</c:v>
                </c:pt>
                <c:pt idx="15">
                  <c:v>Monashees</c:v>
                </c:pt>
                <c:pt idx="16">
                  <c:v>Available for new commitments</c:v>
                </c:pt>
                <c:pt idx="18">
                  <c:v>Mezzanine</c:v>
                </c:pt>
                <c:pt idx="20">
                  <c:v>Other Assets</c:v>
                </c:pt>
              </c:strCache>
            </c:strRef>
          </c:cat>
          <c:val>
            <c:numRef>
              <c:f>'Allocation Summary'!$F$11:$F$31</c:f>
              <c:numCache>
                <c:formatCode>General</c:formatCode>
                <c:ptCount val="21"/>
                <c:pt idx="0" formatCode="0%">
                  <c:v>0.30150753768844218</c:v>
                </c:pt>
                <c:pt idx="6" formatCode="0%">
                  <c:v>0.25125628140703515</c:v>
                </c:pt>
                <c:pt idx="10" formatCode="0%">
                  <c:v>0.20100502512562815</c:v>
                </c:pt>
                <c:pt idx="12" formatCode="0%">
                  <c:v>0.17085427135678391</c:v>
                </c:pt>
                <c:pt idx="18" formatCode="0%">
                  <c:v>7.5376884422110546E-2</c:v>
                </c:pt>
                <c:pt idx="20" formatCode="0%">
                  <c:v>0</c:v>
                </c:pt>
              </c:numCache>
            </c:numRef>
          </c:val>
          <c:extLst>
            <c:ext xmlns:c16="http://schemas.microsoft.com/office/drawing/2014/chart" uri="{C3380CC4-5D6E-409C-BE32-E72D297353CC}">
              <c16:uniqueId val="{00000000-E7B0-483E-AFE2-957D3463098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s-US" b="1" u="sng"/>
              <a:t>Estrategia</a:t>
            </a:r>
            <a:r>
              <a:rPr lang="es-US" b="1" u="sng" baseline="0"/>
              <a:t> 2025 - Allocation Objetivo</a:t>
            </a:r>
            <a:endParaRPr lang="es-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3037720909886264"/>
          <c:y val="0.19486111111111112"/>
          <c:w val="0.43412270341207343"/>
          <c:h val="0.72353783902012236"/>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83-46D2-B3A4-455CE0FF05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83-46D2-B3A4-455CE0FF05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83-46D2-B3A4-455CE0FF05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83-46D2-B3A4-455CE0FF05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83-46D2-B3A4-455CE0FF054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83-46D2-B3A4-455CE0FF054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083-46D2-B3A4-455CE0FF054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083-46D2-B3A4-455CE0FF054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083-46D2-B3A4-455CE0FF054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083-46D2-B3A4-455CE0FF054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083-46D2-B3A4-455CE0FF054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083-46D2-B3A4-455CE0FF054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083-46D2-B3A4-455CE0FF054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083-46D2-B3A4-455CE0FF054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083-46D2-B3A4-455CE0FF054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083-46D2-B3A4-455CE0FF054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083-46D2-B3A4-455CE0FF054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083-46D2-B3A4-455CE0FF054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083-46D2-B3A4-455CE0FF054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083-46D2-B3A4-455CE0FF054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083-46D2-B3A4-455CE0FF0542}"/>
              </c:ext>
            </c:extLst>
          </c:dPt>
          <c:dLbls>
            <c:dLbl>
              <c:idx val="6"/>
              <c:layout>
                <c:manualLayout>
                  <c:x val="-0.16864578313648981"/>
                  <c:y val="-6.35988931056476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083-46D2-B3A4-455CE0FF0542}"/>
                </c:ext>
              </c:extLst>
            </c:dLbl>
            <c:dLbl>
              <c:idx val="18"/>
              <c:layout>
                <c:manualLayout>
                  <c:x val="0.12544024300715595"/>
                  <c:y val="-0.6368666915946434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8083-46D2-B3A4-455CE0FF0542}"/>
                </c:ext>
              </c:extLst>
            </c:dLbl>
            <c:dLbl>
              <c:idx val="2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US"/>
                </a:p>
              </c:txPr>
              <c:showLegendKey val="0"/>
              <c:showVal val="1"/>
              <c:showCatName val="1"/>
              <c:showSerName val="0"/>
              <c:showPercent val="0"/>
              <c:showBubbleSize val="0"/>
              <c:extLst>
                <c:ext xmlns:c16="http://schemas.microsoft.com/office/drawing/2014/chart" uri="{C3380CC4-5D6E-409C-BE32-E72D297353CC}">
                  <c16:uniqueId val="{00000029-8083-46D2-B3A4-455CE0FF0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'Allocation Summary'!$B$11:$B$31</c:f>
              <c:strCache>
                <c:ptCount val="21"/>
                <c:pt idx="0">
                  <c:v>Funds of Search Funds</c:v>
                </c:pt>
                <c:pt idx="1">
                  <c:v>Ambit</c:v>
                </c:pt>
                <c:pt idx="2">
                  <c:v>Relay Europe</c:v>
                </c:pt>
                <c:pt idx="3">
                  <c:v>Vonzeo</c:v>
                </c:pt>
                <c:pt idx="4">
                  <c:v>Available for new commitments</c:v>
                </c:pt>
                <c:pt idx="6">
                  <c:v>Search Fund Acquisitions and Search Capital</c:v>
                </c:pt>
                <c:pt idx="7">
                  <c:v>Netherwood Argentina</c:v>
                </c:pt>
                <c:pt idx="8">
                  <c:v>Available for new commitments</c:v>
                </c:pt>
                <c:pt idx="10">
                  <c:v>CAZ SOF</c:v>
                </c:pt>
                <c:pt idx="12">
                  <c:v>Latam Venture Capital</c:v>
                </c:pt>
                <c:pt idx="13">
                  <c:v>Carao</c:v>
                </c:pt>
                <c:pt idx="14">
                  <c:v>K50</c:v>
                </c:pt>
                <c:pt idx="15">
                  <c:v>Monashees</c:v>
                </c:pt>
                <c:pt idx="16">
                  <c:v>Available for new commitments</c:v>
                </c:pt>
                <c:pt idx="18">
                  <c:v>Mezzanine</c:v>
                </c:pt>
                <c:pt idx="20">
                  <c:v>Other Assets</c:v>
                </c:pt>
              </c:strCache>
            </c:strRef>
          </c:cat>
          <c:val>
            <c:numRef>
              <c:f>'Allocation Summary'!$K$11:$K$31</c:f>
              <c:numCache>
                <c:formatCode>General</c:formatCode>
                <c:ptCount val="21"/>
                <c:pt idx="0" formatCode="0%">
                  <c:v>0.21082220660576248</c:v>
                </c:pt>
                <c:pt idx="6" formatCode="0%">
                  <c:v>0.17568517217146873</c:v>
                </c:pt>
                <c:pt idx="10" formatCode="0%">
                  <c:v>0.14054813773717498</c:v>
                </c:pt>
                <c:pt idx="12" formatCode="0%">
                  <c:v>6.6760365425158119E-2</c:v>
                </c:pt>
                <c:pt idx="18" formatCode="0%">
                  <c:v>0</c:v>
                </c:pt>
                <c:pt idx="20" formatCode="0%">
                  <c:v>0.40618411806043569</c:v>
                </c:pt>
              </c:numCache>
            </c:numRef>
          </c:val>
          <c:extLst>
            <c:ext xmlns:c16="http://schemas.microsoft.com/office/drawing/2014/chart" uri="{C3380CC4-5D6E-409C-BE32-E72D297353CC}">
              <c16:uniqueId val="{0000002A-8083-46D2-B3A4-455CE0FF054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s-US" b="1" u="sng"/>
              <a:t>Estrategia</a:t>
            </a:r>
            <a:r>
              <a:rPr lang="es-US" b="1" u="sng" baseline="0"/>
              <a:t> 2024 - Allocation Objetivo</a:t>
            </a:r>
            <a:endParaRPr lang="es-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3037720909886264"/>
          <c:y val="0.19486111111111112"/>
          <c:w val="0.43412270341207343"/>
          <c:h val="0.72353783902012236"/>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20-407F-8939-3125A41506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20-407F-8939-3125A41506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20-407F-8939-3125A41506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20-407F-8939-3125A41506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20-407F-8939-3125A41506C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720-407F-8939-3125A41506C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720-407F-8939-3125A41506C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720-407F-8939-3125A41506C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720-407F-8939-3125A41506C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720-407F-8939-3125A41506C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720-407F-8939-3125A41506C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720-407F-8939-3125A41506C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720-407F-8939-3125A41506C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720-407F-8939-3125A41506C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720-407F-8939-3125A41506C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720-407F-8939-3125A41506C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720-407F-8939-3125A41506C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720-407F-8939-3125A41506C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720-407F-8939-3125A41506C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720-407F-8939-3125A41506C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720-407F-8939-3125A41506C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D96-4ED6-80B0-66AAB8CFA61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D96-4ED6-80B0-66AAB8CFA61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D96-4ED6-80B0-66AAB8CFA61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1D96-4ED6-80B0-66AAB8CFA61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1D96-4ED6-80B0-66AAB8CFA61D}"/>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1D96-4ED6-80B0-66AAB8CFA61D}"/>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1D96-4ED6-80B0-66AAB8CFA61D}"/>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1D96-4ED6-80B0-66AAB8CFA61D}"/>
              </c:ext>
            </c:extLst>
          </c:dPt>
          <c:dLbls>
            <c:dLbl>
              <c:idx val="6"/>
              <c:layout>
                <c:manualLayout>
                  <c:x val="2.680849735765756E-2"/>
                  <c:y val="-9.36369130714589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720-407F-8939-3125A41506CE}"/>
                </c:ext>
              </c:extLst>
            </c:dLbl>
            <c:dLbl>
              <c:idx val="18"/>
              <c:layout>
                <c:manualLayout>
                  <c:x val="-3.1659706511050219E-2"/>
                  <c:y val="4.35236136885704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B720-407F-8939-3125A41506C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'Allocation Summary'!$B$101:$B$129</c:f>
              <c:strCache>
                <c:ptCount val="29"/>
                <c:pt idx="0">
                  <c:v>Funds of Search Funds</c:v>
                </c:pt>
                <c:pt idx="1">
                  <c:v>Ambit</c:v>
                </c:pt>
                <c:pt idx="2">
                  <c:v>Relay Europe</c:v>
                </c:pt>
                <c:pt idx="3">
                  <c:v>Vonzeo</c:v>
                </c:pt>
                <c:pt idx="4">
                  <c:v>Available for new commitments</c:v>
                </c:pt>
                <c:pt idx="6">
                  <c:v>Search Fund Acquisitions and Search Capital</c:v>
                </c:pt>
                <c:pt idx="7">
                  <c:v>Netherwood Argentina</c:v>
                </c:pt>
                <c:pt idx="8">
                  <c:v>Available for new commitments</c:v>
                </c:pt>
                <c:pt idx="10">
                  <c:v>CAZ SOF</c:v>
                </c:pt>
                <c:pt idx="12">
                  <c:v>Latam Venture Capital</c:v>
                </c:pt>
                <c:pt idx="13">
                  <c:v>Carao</c:v>
                </c:pt>
                <c:pt idx="14">
                  <c:v>K50</c:v>
                </c:pt>
                <c:pt idx="15">
                  <c:v>Monashees</c:v>
                </c:pt>
                <c:pt idx="16">
                  <c:v>Available for new commitments</c:v>
                </c:pt>
                <c:pt idx="18">
                  <c:v>Legacy Venture Capital (incluye port. Isis)</c:v>
                </c:pt>
                <c:pt idx="19">
                  <c:v>Afluenta</c:v>
                </c:pt>
                <c:pt idx="20">
                  <c:v>Genesis VC</c:v>
                </c:pt>
                <c:pt idx="21">
                  <c:v>BlocPal</c:v>
                </c:pt>
                <c:pt idx="22">
                  <c:v>Marmoniel Loan</c:v>
                </c:pt>
                <c:pt idx="23">
                  <c:v>Zebra Growth Fund</c:v>
                </c:pt>
                <c:pt idx="26">
                  <c:v>Mezzanine</c:v>
                </c:pt>
                <c:pt idx="28">
                  <c:v>Other Assets</c:v>
                </c:pt>
              </c:strCache>
            </c:strRef>
          </c:cat>
          <c:val>
            <c:numRef>
              <c:f>'Allocation Summary'!$F$101:$F$129</c:f>
              <c:numCache>
                <c:formatCode>General</c:formatCode>
                <c:ptCount val="29"/>
                <c:pt idx="0" formatCode="0%">
                  <c:v>0.24970867321458298</c:v>
                </c:pt>
                <c:pt idx="6" formatCode="0%">
                  <c:v>0.20809056101215248</c:v>
                </c:pt>
                <c:pt idx="10" formatCode="0%">
                  <c:v>0.16647244880972198</c:v>
                </c:pt>
                <c:pt idx="12" formatCode="0%">
                  <c:v>0.14150158148826369</c:v>
                </c:pt>
                <c:pt idx="18" formatCode="0%">
                  <c:v>0.17179956717163308</c:v>
                </c:pt>
                <c:pt idx="26" formatCode="0%">
                  <c:v>6.2427168303645746E-2</c:v>
                </c:pt>
                <c:pt idx="28" formatCode="0%">
                  <c:v>0</c:v>
                </c:pt>
              </c:numCache>
            </c:numRef>
          </c:val>
          <c:extLst>
            <c:ext xmlns:c16="http://schemas.microsoft.com/office/drawing/2014/chart" uri="{C3380CC4-5D6E-409C-BE32-E72D297353CC}">
              <c16:uniqueId val="{0000002A-B720-407F-8939-3125A41506C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s-US" b="1" u="sng"/>
              <a:t>Estrategia</a:t>
            </a:r>
            <a:r>
              <a:rPr lang="es-US" b="1" u="sng" baseline="0"/>
              <a:t> 2025 - Allocation Objetivo</a:t>
            </a:r>
            <a:endParaRPr lang="es-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3037720909886264"/>
          <c:y val="0.19486111111111112"/>
          <c:w val="0.43412270341207343"/>
          <c:h val="0.72353783902012236"/>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FB-4B3E-BB79-49B3DFBDE0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FB-4B3E-BB79-49B3DFBDE0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FB-4B3E-BB79-49B3DFBDE0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FB-4B3E-BB79-49B3DFBDE0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FB-4B3E-BB79-49B3DFBDE01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FB-4B3E-BB79-49B3DFBDE01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FB-4B3E-BB79-49B3DFBDE01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0FB-4B3E-BB79-49B3DFBDE01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0FB-4B3E-BB79-49B3DFBDE01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0FB-4B3E-BB79-49B3DFBDE01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0FB-4B3E-BB79-49B3DFBDE01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0FB-4B3E-BB79-49B3DFBDE01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0FB-4B3E-BB79-49B3DFBDE01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0FB-4B3E-BB79-49B3DFBDE01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0FB-4B3E-BB79-49B3DFBDE01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0FB-4B3E-BB79-49B3DFBDE01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0FB-4B3E-BB79-49B3DFBDE01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0FB-4B3E-BB79-49B3DFBDE01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0FB-4B3E-BB79-49B3DFBDE01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0FB-4B3E-BB79-49B3DFBDE01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0FB-4B3E-BB79-49B3DFBDE01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0FB-4B3E-BB79-49B3DFBDE01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0FB-4B3E-BB79-49B3DFBDE01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0FB-4B3E-BB79-49B3DFBDE01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20FB-4B3E-BB79-49B3DFBDE01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20FB-4B3E-BB79-49B3DFBDE01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20FB-4B3E-BB79-49B3DFBDE01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20FB-4B3E-BB79-49B3DFBDE01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20FB-4B3E-BB79-49B3DFBDE015}"/>
              </c:ext>
            </c:extLst>
          </c:dPt>
          <c:dLbls>
            <c:dLbl>
              <c:idx val="0"/>
              <c:layout>
                <c:manualLayout>
                  <c:x val="2.0808049585362108E-2"/>
                  <c:y val="-1.0408102475878149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FB-4B3E-BB79-49B3DFBDE015}"/>
                </c:ext>
              </c:extLst>
            </c:dLbl>
            <c:dLbl>
              <c:idx val="18"/>
              <c:layout>
                <c:manualLayout>
                  <c:x val="2.0045472435279522E-2"/>
                  <c:y val="-1.895726542015259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20FB-4B3E-BB79-49B3DFBDE015}"/>
                </c:ext>
              </c:extLst>
            </c:dLbl>
            <c:dLbl>
              <c:idx val="26"/>
              <c:layout>
                <c:manualLayout>
                  <c:x val="0.10673753404545823"/>
                  <c:y val="-0.5925989835607866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35-20FB-4B3E-BB79-49B3DFBDE015}"/>
                </c:ext>
              </c:extLst>
            </c:dLbl>
            <c:dLbl>
              <c:idx val="28"/>
              <c:layout>
                <c:manualLayout>
                  <c:x val="0.10984895347242182"/>
                  <c:y val="2.35825766117579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39-20FB-4B3E-BB79-49B3DFBDE01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'Allocation Summary'!$B$101:$B$129</c:f>
              <c:strCache>
                <c:ptCount val="29"/>
                <c:pt idx="0">
                  <c:v>Funds of Search Funds</c:v>
                </c:pt>
                <c:pt idx="1">
                  <c:v>Ambit</c:v>
                </c:pt>
                <c:pt idx="2">
                  <c:v>Relay Europe</c:v>
                </c:pt>
                <c:pt idx="3">
                  <c:v>Vonzeo</c:v>
                </c:pt>
                <c:pt idx="4">
                  <c:v>Available for new commitments</c:v>
                </c:pt>
                <c:pt idx="6">
                  <c:v>Search Fund Acquisitions and Search Capital</c:v>
                </c:pt>
                <c:pt idx="7">
                  <c:v>Netherwood Argentina</c:v>
                </c:pt>
                <c:pt idx="8">
                  <c:v>Available for new commitments</c:v>
                </c:pt>
                <c:pt idx="10">
                  <c:v>CAZ SOF</c:v>
                </c:pt>
                <c:pt idx="12">
                  <c:v>Latam Venture Capital</c:v>
                </c:pt>
                <c:pt idx="13">
                  <c:v>Carao</c:v>
                </c:pt>
                <c:pt idx="14">
                  <c:v>K50</c:v>
                </c:pt>
                <c:pt idx="15">
                  <c:v>Monashees</c:v>
                </c:pt>
                <c:pt idx="16">
                  <c:v>Available for new commitments</c:v>
                </c:pt>
                <c:pt idx="18">
                  <c:v>Legacy Venture Capital (incluye port. Isis)</c:v>
                </c:pt>
                <c:pt idx="19">
                  <c:v>Afluenta</c:v>
                </c:pt>
                <c:pt idx="20">
                  <c:v>Genesis VC</c:v>
                </c:pt>
                <c:pt idx="21">
                  <c:v>BlocPal</c:v>
                </c:pt>
                <c:pt idx="22">
                  <c:v>Marmoniel Loan</c:v>
                </c:pt>
                <c:pt idx="23">
                  <c:v>Zebra Growth Fund</c:v>
                </c:pt>
                <c:pt idx="26">
                  <c:v>Mezzanine</c:v>
                </c:pt>
                <c:pt idx="28">
                  <c:v>Other Assets</c:v>
                </c:pt>
              </c:strCache>
            </c:strRef>
          </c:cat>
          <c:val>
            <c:numRef>
              <c:f>'Allocation Summary'!$K$101:$K$129</c:f>
              <c:numCache>
                <c:formatCode>General</c:formatCode>
                <c:ptCount val="29"/>
                <c:pt idx="0" formatCode="0%">
                  <c:v>0.1841168528292623</c:v>
                </c:pt>
                <c:pt idx="6" formatCode="0%">
                  <c:v>0.15343071069105191</c:v>
                </c:pt>
                <c:pt idx="10" formatCode="0%">
                  <c:v>0.12274456855284153</c:v>
                </c:pt>
                <c:pt idx="12" formatCode="0%">
                  <c:v>5.8303670062599733E-2</c:v>
                </c:pt>
                <c:pt idx="18" formatCode="0%">
                  <c:v>0.12667239474653247</c:v>
                </c:pt>
                <c:pt idx="26" formatCode="0%">
                  <c:v>0</c:v>
                </c:pt>
                <c:pt idx="28" formatCode="0%">
                  <c:v>0.35473180311771202</c:v>
                </c:pt>
              </c:numCache>
            </c:numRef>
          </c:val>
          <c:extLst>
            <c:ext xmlns:c16="http://schemas.microsoft.com/office/drawing/2014/chart" uri="{C3380CC4-5D6E-409C-BE32-E72D297353CC}">
              <c16:uniqueId val="{0000003A-20FB-4B3E-BB79-49B3DFBDE01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73</xdr:row>
      <xdr:rowOff>67732</xdr:rowOff>
    </xdr:from>
    <xdr:to>
      <xdr:col>7</xdr:col>
      <xdr:colOff>93134</xdr:colOff>
      <xdr:row>92</xdr:row>
      <xdr:rowOff>0</xdr:rowOff>
    </xdr:to>
    <xdr:graphicFrame macro="">
      <xdr:nvGraphicFramePr>
        <xdr:cNvPr id="2" name="Chart 1">
          <a:extLst>
            <a:ext uri="{FF2B5EF4-FFF2-40B4-BE49-F238E27FC236}">
              <a16:creationId xmlns:a16="http://schemas.microsoft.com/office/drawing/2014/main" id="{109C053D-A6FB-A88A-F2F8-32044CE58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118533</xdr:colOff>
      <xdr:row>73</xdr:row>
      <xdr:rowOff>33866</xdr:rowOff>
    </xdr:from>
    <xdr:to>
      <xdr:col>12</xdr:col>
      <xdr:colOff>93134</xdr:colOff>
      <xdr:row>91</xdr:row>
      <xdr:rowOff>152400</xdr:rowOff>
    </xdr:to>
    <xdr:graphicFrame macro="">
      <xdr:nvGraphicFramePr>
        <xdr:cNvPr id="3" name="Chart 2">
          <a:extLst>
            <a:ext uri="{FF2B5EF4-FFF2-40B4-BE49-F238E27FC236}">
              <a16:creationId xmlns:a16="http://schemas.microsoft.com/office/drawing/2014/main" id="{BAD8FA01-3ACD-465E-9E70-0A7981983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33866</xdr:colOff>
      <xdr:row>139</xdr:row>
      <xdr:rowOff>25400</xdr:rowOff>
    </xdr:from>
    <xdr:to>
      <xdr:col>7</xdr:col>
      <xdr:colOff>127000</xdr:colOff>
      <xdr:row>157</xdr:row>
      <xdr:rowOff>143934</xdr:rowOff>
    </xdr:to>
    <xdr:graphicFrame macro="">
      <xdr:nvGraphicFramePr>
        <xdr:cNvPr id="4" name="Chart 3">
          <a:extLst>
            <a:ext uri="{FF2B5EF4-FFF2-40B4-BE49-F238E27FC236}">
              <a16:creationId xmlns:a16="http://schemas.microsoft.com/office/drawing/2014/main" id="{B512AF0E-5786-4763-89DB-67FCA01BD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50800</xdr:colOff>
      <xdr:row>139</xdr:row>
      <xdr:rowOff>8467</xdr:rowOff>
    </xdr:from>
    <xdr:to>
      <xdr:col>12</xdr:col>
      <xdr:colOff>508001</xdr:colOff>
      <xdr:row>157</xdr:row>
      <xdr:rowOff>127001</xdr:rowOff>
    </xdr:to>
    <xdr:graphicFrame macro="">
      <xdr:nvGraphicFramePr>
        <xdr:cNvPr id="5" name="Chart 4">
          <a:extLst>
            <a:ext uri="{FF2B5EF4-FFF2-40B4-BE49-F238E27FC236}">
              <a16:creationId xmlns:a16="http://schemas.microsoft.com/office/drawing/2014/main" id="{0A0DF40C-3D2D-4016-97A7-E2D0D4213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dbbe3fa6620dee6/Desktop/ILV%20Portfolio%20Summary%2025.05.22%20v2.xlsx" TargetMode="External"/><Relationship Id="rId1" Type="http://schemas.openxmlformats.org/officeDocument/2006/relationships/externalLinkPath" Target="https://d.docs.live.net/cdbbe3fa6620dee6/Desktop/ILV%20Portfolio%20Summary%2025.05.22%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ocation Summary"/>
      <sheetName val="Detail May2025"/>
      <sheetName val="Detail Dec2024"/>
    </sheetNames>
    <sheetDataSet>
      <sheetData sheetId="0" refreshError="1"/>
      <sheetData sheetId="1">
        <row r="13">
          <cell r="F13">
            <v>1513145</v>
          </cell>
        </row>
        <row r="20">
          <cell r="F20">
            <v>886387</v>
          </cell>
        </row>
        <row r="24">
          <cell r="F24">
            <v>1398600</v>
          </cell>
        </row>
      </sheetData>
      <sheetData sheetId="2" refreshError="1"/>
    </sheetDataSet>
  </externalBook>
</externalLink>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50BE0-5B09-4E0A-A294-17B6DB658D2C}">
  <dimension ref="A2:T137"/>
  <sheetViews>
    <sheetView showGridLines="0" tabSelected="1" zoomScale="90" zoomScaleNormal="90" workbookViewId="0"/>
  </sheetViews>
  <sheetFormatPr defaultRowHeight="14.4" x14ac:dyDescent="0.3"/>
  <cols>
    <col min="1" max="1" width="2.77734375" customWidth="1"/>
    <col min="2" max="2" width="27.6640625" customWidth="1"/>
    <col min="3" max="3" width="10.5546875" bestFit="1" customWidth="1"/>
    <col min="8" max="8" width="18" customWidth="1"/>
    <col min="21" max="21" width="9.77734375" customWidth="1"/>
  </cols>
  <sheetData>
    <row r="2" spans="1:20" ht="18" x14ac:dyDescent="0.3">
      <c r="B2" s="67" t="s">
        <v>92</v>
      </c>
    </row>
    <row r="3" spans="1:20" x14ac:dyDescent="0.3">
      <c r="B3" t="s">
        <v>73</v>
      </c>
    </row>
    <row r="4" spans="1:20" x14ac:dyDescent="0.3">
      <c r="B4" s="64" t="s">
        <v>126</v>
      </c>
    </row>
    <row r="6" spans="1:20" x14ac:dyDescent="0.3">
      <c r="A6" t="s">
        <v>55</v>
      </c>
      <c r="B6" s="61" t="s">
        <v>119</v>
      </c>
    </row>
    <row r="7" spans="1:20" x14ac:dyDescent="0.3">
      <c r="B7" s="61"/>
    </row>
    <row r="8" spans="1:20" s="15" customFormat="1" ht="24" x14ac:dyDescent="0.3">
      <c r="B8" s="50" t="s">
        <v>44</v>
      </c>
      <c r="C8" s="72"/>
      <c r="D8" s="72"/>
      <c r="E8" s="107" t="s">
        <v>115</v>
      </c>
      <c r="F8" s="108"/>
      <c r="G8" s="50"/>
      <c r="H8" s="73" t="s">
        <v>125</v>
      </c>
      <c r="I8" s="50"/>
      <c r="J8" s="109" t="s">
        <v>117</v>
      </c>
      <c r="K8" s="110"/>
      <c r="M8" s="106" t="s">
        <v>118</v>
      </c>
      <c r="N8" s="106"/>
      <c r="O8" s="106"/>
      <c r="P8" s="106"/>
      <c r="Q8" s="106"/>
      <c r="R8" s="106"/>
      <c r="S8" s="106"/>
      <c r="T8" s="106"/>
    </row>
    <row r="9" spans="1:20" x14ac:dyDescent="0.3">
      <c r="E9" s="96" t="s">
        <v>96</v>
      </c>
      <c r="F9" s="97" t="s">
        <v>71</v>
      </c>
      <c r="H9" s="98" t="s">
        <v>96</v>
      </c>
      <c r="J9" s="96" t="s">
        <v>96</v>
      </c>
      <c r="K9" s="97" t="s">
        <v>71</v>
      </c>
    </row>
    <row r="10" spans="1:20" x14ac:dyDescent="0.3">
      <c r="E10" s="74"/>
      <c r="F10" s="75"/>
      <c r="H10" s="88"/>
      <c r="J10" s="74"/>
      <c r="K10" s="75"/>
    </row>
    <row r="11" spans="1:20" x14ac:dyDescent="0.3">
      <c r="A11" t="s">
        <v>55</v>
      </c>
      <c r="B11" s="70" t="s">
        <v>94</v>
      </c>
      <c r="C11" s="71"/>
      <c r="D11" s="71"/>
      <c r="E11" s="76">
        <v>3000</v>
      </c>
      <c r="F11" s="77">
        <f>+E11/$E$39</f>
        <v>0.30150753768844218</v>
      </c>
      <c r="G11" s="70"/>
      <c r="H11" s="89">
        <f>+SUM(H12:H14)</f>
        <v>1580</v>
      </c>
      <c r="I11" s="70"/>
      <c r="J11" s="76">
        <v>3000</v>
      </c>
      <c r="K11" s="77">
        <f>+J11/$J$39</f>
        <v>0.21082220660576248</v>
      </c>
      <c r="M11" t="s">
        <v>109</v>
      </c>
    </row>
    <row r="12" spans="1:20" x14ac:dyDescent="0.3">
      <c r="B12" s="62" t="s">
        <v>66</v>
      </c>
      <c r="E12" s="78"/>
      <c r="F12" s="79"/>
      <c r="H12" s="90">
        <v>500</v>
      </c>
      <c r="J12" s="78">
        <v>500</v>
      </c>
      <c r="K12" s="79"/>
    </row>
    <row r="13" spans="1:20" x14ac:dyDescent="0.3">
      <c r="B13" s="62" t="s">
        <v>98</v>
      </c>
      <c r="E13" s="78"/>
      <c r="F13" s="79"/>
      <c r="H13" s="90">
        <v>550</v>
      </c>
      <c r="J13" s="78">
        <v>550</v>
      </c>
      <c r="K13" s="79"/>
    </row>
    <row r="14" spans="1:20" x14ac:dyDescent="0.3">
      <c r="B14" s="65" t="s">
        <v>67</v>
      </c>
      <c r="C14" s="66"/>
      <c r="D14" s="66"/>
      <c r="E14" s="80"/>
      <c r="F14" s="81"/>
      <c r="G14" s="66"/>
      <c r="H14" s="91">
        <v>530</v>
      </c>
      <c r="I14" s="66"/>
      <c r="J14" s="80">
        <v>530</v>
      </c>
      <c r="K14" s="81"/>
    </row>
    <row r="15" spans="1:20" x14ac:dyDescent="0.3">
      <c r="B15" s="63" t="s">
        <v>108</v>
      </c>
      <c r="C15" s="64"/>
      <c r="D15" s="64"/>
      <c r="E15" s="82"/>
      <c r="F15" s="83"/>
      <c r="G15" s="64"/>
      <c r="H15" s="92">
        <f>+E11-SUM(H12:H14)</f>
        <v>1420</v>
      </c>
      <c r="J15" s="82">
        <f>+J11-SUM(J12:J14)</f>
        <v>1420</v>
      </c>
      <c r="K15" s="79"/>
    </row>
    <row r="16" spans="1:20" x14ac:dyDescent="0.3">
      <c r="E16" s="78"/>
      <c r="F16" s="79"/>
      <c r="H16" s="88"/>
      <c r="J16" s="84"/>
      <c r="K16" s="79"/>
    </row>
    <row r="17" spans="1:13" x14ac:dyDescent="0.3">
      <c r="B17" s="70" t="s">
        <v>99</v>
      </c>
      <c r="C17" s="70"/>
      <c r="D17" s="70"/>
      <c r="E17" s="76">
        <v>2500</v>
      </c>
      <c r="F17" s="77">
        <f>+E17/$E$39</f>
        <v>0.25125628140703515</v>
      </c>
      <c r="G17" s="70"/>
      <c r="H17" s="93">
        <f>+H18</f>
        <v>40</v>
      </c>
      <c r="I17" s="70"/>
      <c r="J17" s="76">
        <v>2500</v>
      </c>
      <c r="K17" s="77">
        <f>+J17/$J$39</f>
        <v>0.17568517217146873</v>
      </c>
      <c r="M17" t="s">
        <v>110</v>
      </c>
    </row>
    <row r="18" spans="1:13" x14ac:dyDescent="0.3">
      <c r="B18" s="65" t="s">
        <v>100</v>
      </c>
      <c r="C18" s="66"/>
      <c r="D18" s="66"/>
      <c r="E18" s="80"/>
      <c r="F18" s="81"/>
      <c r="G18" s="66"/>
      <c r="H18" s="94">
        <v>40</v>
      </c>
      <c r="I18" s="66"/>
      <c r="J18" s="86">
        <f>+H18</f>
        <v>40</v>
      </c>
      <c r="K18" s="81"/>
    </row>
    <row r="19" spans="1:13" x14ac:dyDescent="0.3">
      <c r="B19" s="63" t="s">
        <v>108</v>
      </c>
      <c r="C19" s="64"/>
      <c r="D19" s="64"/>
      <c r="E19" s="82"/>
      <c r="F19" s="83"/>
      <c r="G19" s="64"/>
      <c r="H19" s="92">
        <f>+E17-H18</f>
        <v>2460</v>
      </c>
      <c r="J19" s="82">
        <f>+H19</f>
        <v>2460</v>
      </c>
      <c r="K19" s="79"/>
    </row>
    <row r="20" spans="1:13" x14ac:dyDescent="0.3">
      <c r="B20" s="62"/>
      <c r="E20" s="78"/>
      <c r="F20" s="79"/>
      <c r="H20" s="88"/>
      <c r="J20" s="84"/>
      <c r="K20" s="79"/>
    </row>
    <row r="21" spans="1:13" x14ac:dyDescent="0.3">
      <c r="A21" t="s">
        <v>55</v>
      </c>
      <c r="B21" s="70" t="s">
        <v>70</v>
      </c>
      <c r="C21" s="70"/>
      <c r="D21" s="70"/>
      <c r="E21" s="76">
        <v>2000</v>
      </c>
      <c r="F21" s="77">
        <f>+E21/$E$39</f>
        <v>0.20100502512562815</v>
      </c>
      <c r="G21" s="70"/>
      <c r="H21" s="89">
        <v>2000</v>
      </c>
      <c r="I21" s="70"/>
      <c r="J21" s="76">
        <v>2000</v>
      </c>
      <c r="K21" s="77">
        <f>+J21/$J$39</f>
        <v>0.14054813773717498</v>
      </c>
      <c r="M21" t="s">
        <v>111</v>
      </c>
    </row>
    <row r="22" spans="1:13" x14ac:dyDescent="0.3">
      <c r="E22" s="78"/>
      <c r="F22" s="79"/>
      <c r="H22" s="88"/>
      <c r="J22" s="84"/>
      <c r="K22" s="79"/>
    </row>
    <row r="23" spans="1:13" x14ac:dyDescent="0.3">
      <c r="B23" s="70" t="s">
        <v>107</v>
      </c>
      <c r="C23" s="70"/>
      <c r="D23" s="70"/>
      <c r="E23" s="76">
        <v>1700</v>
      </c>
      <c r="F23" s="77">
        <f>+E23/$E$39</f>
        <v>0.17085427135678391</v>
      </c>
      <c r="G23" s="70"/>
      <c r="H23" s="93">
        <f>+SUM(H24:H26)</f>
        <v>950</v>
      </c>
      <c r="I23" s="70"/>
      <c r="J23" s="85">
        <v>950</v>
      </c>
      <c r="K23" s="77">
        <f>+J23/$J$39</f>
        <v>6.6760365425158119E-2</v>
      </c>
      <c r="M23" t="s">
        <v>124</v>
      </c>
    </row>
    <row r="24" spans="1:13" x14ac:dyDescent="0.3">
      <c r="B24" s="62" t="s">
        <v>101</v>
      </c>
      <c r="E24" s="78"/>
      <c r="F24" s="79"/>
      <c r="H24" s="88">
        <v>250</v>
      </c>
      <c r="J24" s="84">
        <f>+H24</f>
        <v>250</v>
      </c>
      <c r="K24" s="79"/>
    </row>
    <row r="25" spans="1:13" x14ac:dyDescent="0.3">
      <c r="B25" s="62" t="s">
        <v>69</v>
      </c>
      <c r="E25" s="78"/>
      <c r="F25" s="79"/>
      <c r="H25" s="88">
        <v>200</v>
      </c>
      <c r="J25" s="84">
        <f>+H25</f>
        <v>200</v>
      </c>
      <c r="K25" s="79"/>
    </row>
    <row r="26" spans="1:13" x14ac:dyDescent="0.3">
      <c r="B26" s="65" t="s">
        <v>68</v>
      </c>
      <c r="C26" s="66"/>
      <c r="D26" s="66"/>
      <c r="E26" s="80"/>
      <c r="F26" s="81"/>
      <c r="G26" s="66"/>
      <c r="H26" s="94">
        <v>500</v>
      </c>
      <c r="I26" s="66"/>
      <c r="J26" s="86">
        <f>+H26</f>
        <v>500</v>
      </c>
      <c r="K26" s="81"/>
    </row>
    <row r="27" spans="1:13" x14ac:dyDescent="0.3">
      <c r="B27" s="63" t="s">
        <v>108</v>
      </c>
      <c r="C27" s="64"/>
      <c r="D27" s="64"/>
      <c r="E27" s="82"/>
      <c r="F27" s="83"/>
      <c r="G27" s="64"/>
      <c r="H27" s="92">
        <f>+E23-SUM(H24:H26)</f>
        <v>750</v>
      </c>
      <c r="J27" s="84">
        <v>0</v>
      </c>
      <c r="K27" s="79"/>
    </row>
    <row r="28" spans="1:13" x14ac:dyDescent="0.3">
      <c r="E28" s="78"/>
      <c r="F28" s="79"/>
      <c r="H28" s="88"/>
      <c r="J28" s="84"/>
      <c r="K28" s="79"/>
    </row>
    <row r="29" spans="1:13" x14ac:dyDescent="0.3">
      <c r="A29" t="s">
        <v>55</v>
      </c>
      <c r="B29" s="70" t="s">
        <v>95</v>
      </c>
      <c r="C29" s="70"/>
      <c r="D29" s="70"/>
      <c r="E29" s="76">
        <v>750</v>
      </c>
      <c r="F29" s="77">
        <f>+E29/$E$39</f>
        <v>7.5376884422110546E-2</v>
      </c>
      <c r="G29" s="70"/>
      <c r="H29" s="93">
        <v>0</v>
      </c>
      <c r="I29" s="70"/>
      <c r="J29" s="85">
        <v>0</v>
      </c>
      <c r="K29" s="77">
        <f>+J29/$J$39</f>
        <v>0</v>
      </c>
      <c r="M29" t="s">
        <v>112</v>
      </c>
    </row>
    <row r="30" spans="1:13" x14ac:dyDescent="0.3">
      <c r="E30" s="84"/>
      <c r="F30" s="79"/>
      <c r="H30" s="88"/>
      <c r="J30" s="84"/>
      <c r="K30" s="79"/>
    </row>
    <row r="31" spans="1:13" x14ac:dyDescent="0.3">
      <c r="B31" s="70" t="s">
        <v>102</v>
      </c>
      <c r="C31" s="70"/>
      <c r="D31" s="70"/>
      <c r="E31" s="85">
        <v>0</v>
      </c>
      <c r="F31" s="77">
        <f>+E31/$E$39</f>
        <v>0</v>
      </c>
      <c r="G31" s="70"/>
      <c r="H31" s="89">
        <f>+SUM(H32:H37)</f>
        <v>580</v>
      </c>
      <c r="I31" s="71"/>
      <c r="J31" s="76">
        <f>+SUM(J32:J37)</f>
        <v>5780</v>
      </c>
      <c r="K31" s="77">
        <f>+J31/$J$39</f>
        <v>0.40618411806043569</v>
      </c>
      <c r="M31" t="s">
        <v>114</v>
      </c>
    </row>
    <row r="32" spans="1:13" x14ac:dyDescent="0.3">
      <c r="B32" s="62" t="s">
        <v>93</v>
      </c>
      <c r="E32" s="84"/>
      <c r="F32" s="79"/>
      <c r="H32" s="88">
        <v>30</v>
      </c>
      <c r="J32" s="84">
        <v>30</v>
      </c>
      <c r="K32" s="79"/>
    </row>
    <row r="33" spans="1:11" x14ac:dyDescent="0.3">
      <c r="B33" s="62" t="s">
        <v>103</v>
      </c>
      <c r="E33" s="84"/>
      <c r="F33" s="79"/>
      <c r="H33" s="88">
        <v>250</v>
      </c>
      <c r="J33" s="84">
        <v>250</v>
      </c>
      <c r="K33" s="79"/>
    </row>
    <row r="34" spans="1:11" x14ac:dyDescent="0.3">
      <c r="B34" s="62" t="s">
        <v>104</v>
      </c>
      <c r="E34" s="84"/>
      <c r="F34" s="79"/>
      <c r="H34" s="90">
        <v>0</v>
      </c>
      <c r="J34" s="78">
        <v>2000</v>
      </c>
      <c r="K34" s="79"/>
    </row>
    <row r="35" spans="1:11" x14ac:dyDescent="0.3">
      <c r="B35" s="62" t="s">
        <v>105</v>
      </c>
      <c r="E35" s="84"/>
      <c r="F35" s="79"/>
      <c r="H35" s="88">
        <v>0</v>
      </c>
      <c r="J35" s="78">
        <v>1000</v>
      </c>
      <c r="K35" s="79"/>
    </row>
    <row r="36" spans="1:11" x14ac:dyDescent="0.3">
      <c r="B36" s="62" t="s">
        <v>113</v>
      </c>
      <c r="E36" s="84"/>
      <c r="F36" s="79"/>
      <c r="H36" s="88">
        <v>100</v>
      </c>
      <c r="J36" s="78">
        <v>1500</v>
      </c>
      <c r="K36" s="79"/>
    </row>
    <row r="37" spans="1:11" x14ac:dyDescent="0.3">
      <c r="B37" s="65" t="s">
        <v>106</v>
      </c>
      <c r="C37" s="66"/>
      <c r="D37" s="66"/>
      <c r="E37" s="86"/>
      <c r="F37" s="81"/>
      <c r="G37" s="66"/>
      <c r="H37" s="94">
        <v>200</v>
      </c>
      <c r="I37" s="66"/>
      <c r="J37" s="80">
        <v>1000</v>
      </c>
      <c r="K37" s="81"/>
    </row>
    <row r="38" spans="1:11" x14ac:dyDescent="0.3">
      <c r="E38" s="84"/>
      <c r="F38" s="79"/>
      <c r="H38" s="88"/>
      <c r="J38" s="84"/>
      <c r="K38" s="79"/>
    </row>
    <row r="39" spans="1:11" ht="15" thickBot="1" x14ac:dyDescent="0.35">
      <c r="A39" t="s">
        <v>55</v>
      </c>
      <c r="B39" s="68" t="s">
        <v>61</v>
      </c>
      <c r="C39" s="68"/>
      <c r="D39" s="68"/>
      <c r="E39" s="87">
        <f>+E11+E17+E21+E23+E29</f>
        <v>9950</v>
      </c>
      <c r="F39" s="103">
        <f>+F11+F17+F21+F23+F29+F31</f>
        <v>0.99999999999999989</v>
      </c>
      <c r="G39" s="69"/>
      <c r="H39" s="95">
        <f>+H11+H17+H21+H23+H29+H31</f>
        <v>5150</v>
      </c>
      <c r="I39" s="69"/>
      <c r="J39" s="87">
        <f>+J11+J17+J21+J23+J29+J31</f>
        <v>14230</v>
      </c>
      <c r="K39" s="103">
        <f>+K11+K17+K21+K23+K29+K31</f>
        <v>1</v>
      </c>
    </row>
    <row r="42" spans="1:11" ht="21" customHeight="1" x14ac:dyDescent="0.3">
      <c r="A42" s="121" t="s">
        <v>55</v>
      </c>
      <c r="B42" s="120" t="s">
        <v>147</v>
      </c>
      <c r="C42" s="50"/>
      <c r="D42" s="50"/>
      <c r="E42" s="50"/>
      <c r="F42" s="50"/>
      <c r="G42" s="50"/>
      <c r="H42" s="50"/>
      <c r="I42" s="50"/>
      <c r="J42" s="50"/>
    </row>
    <row r="44" spans="1:11" x14ac:dyDescent="0.3">
      <c r="B44" s="61" t="s">
        <v>127</v>
      </c>
    </row>
    <row r="45" spans="1:11" x14ac:dyDescent="0.3">
      <c r="B45" t="s">
        <v>104</v>
      </c>
      <c r="J45" s="111">
        <v>4088</v>
      </c>
    </row>
    <row r="46" spans="1:11" x14ac:dyDescent="0.3">
      <c r="B46" t="s">
        <v>128</v>
      </c>
      <c r="J46" s="111">
        <v>5754</v>
      </c>
    </row>
    <row r="47" spans="1:11" x14ac:dyDescent="0.3">
      <c r="B47" s="112" t="s">
        <v>129</v>
      </c>
      <c r="C47" s="112"/>
      <c r="D47" s="112"/>
      <c r="E47" s="112"/>
      <c r="F47" s="112"/>
      <c r="G47" s="112"/>
      <c r="H47" s="112"/>
      <c r="I47" s="112"/>
      <c r="J47" s="113">
        <v>1296</v>
      </c>
    </row>
    <row r="48" spans="1:11" x14ac:dyDescent="0.3">
      <c r="B48" s="114" t="s">
        <v>130</v>
      </c>
      <c r="J48" s="115">
        <f>SUM(J45:J47)</f>
        <v>11138</v>
      </c>
    </row>
    <row r="49" spans="2:10" x14ac:dyDescent="0.3">
      <c r="J49" s="111"/>
    </row>
    <row r="50" spans="2:10" x14ac:dyDescent="0.3">
      <c r="B50" s="61" t="s">
        <v>131</v>
      </c>
      <c r="J50" s="111"/>
    </row>
    <row r="51" spans="2:10" x14ac:dyDescent="0.3">
      <c r="B51" t="s">
        <v>132</v>
      </c>
      <c r="J51" s="111">
        <v>1000</v>
      </c>
    </row>
    <row r="52" spans="2:10" x14ac:dyDescent="0.3">
      <c r="B52" s="112" t="s">
        <v>133</v>
      </c>
      <c r="C52" s="112"/>
      <c r="D52" s="112"/>
      <c r="E52" s="112"/>
      <c r="F52" s="112"/>
      <c r="G52" s="112"/>
      <c r="H52" s="112"/>
      <c r="I52" s="112"/>
      <c r="J52" s="113">
        <v>680</v>
      </c>
    </row>
    <row r="53" spans="2:10" x14ac:dyDescent="0.3">
      <c r="B53" s="114" t="s">
        <v>134</v>
      </c>
      <c r="J53" s="115">
        <f>SUM(J51:J52)</f>
        <v>1680</v>
      </c>
    </row>
    <row r="54" spans="2:10" x14ac:dyDescent="0.3">
      <c r="J54" s="111"/>
    </row>
    <row r="55" spans="2:10" ht="15" thickBot="1" x14ac:dyDescent="0.35">
      <c r="B55" s="116" t="s">
        <v>135</v>
      </c>
      <c r="C55" s="117"/>
      <c r="D55" s="117"/>
      <c r="E55" s="117"/>
      <c r="F55" s="117"/>
      <c r="G55" s="117"/>
      <c r="H55" s="117"/>
      <c r="I55" s="117"/>
      <c r="J55" s="118">
        <f>+J48+J53</f>
        <v>12818</v>
      </c>
    </row>
    <row r="56" spans="2:10" x14ac:dyDescent="0.3">
      <c r="J56" s="111"/>
    </row>
    <row r="57" spans="2:10" x14ac:dyDescent="0.3">
      <c r="B57" s="61" t="s">
        <v>136</v>
      </c>
      <c r="J57" s="111"/>
    </row>
    <row r="58" spans="2:10" x14ac:dyDescent="0.3">
      <c r="B58" t="s">
        <v>137</v>
      </c>
      <c r="J58" s="111">
        <f>+J15+'[1]Detail May2025'!F13/1000</f>
        <v>2933.145</v>
      </c>
    </row>
    <row r="59" spans="2:10" x14ac:dyDescent="0.3">
      <c r="B59" t="s">
        <v>138</v>
      </c>
      <c r="J59" s="111">
        <f>+J19</f>
        <v>2460</v>
      </c>
    </row>
    <row r="60" spans="2:10" x14ac:dyDescent="0.3">
      <c r="B60" t="s">
        <v>139</v>
      </c>
      <c r="J60" s="111">
        <f>+'[1]Detail May2025'!F20/1000</f>
        <v>886.38699999999994</v>
      </c>
    </row>
    <row r="61" spans="2:10" x14ac:dyDescent="0.3">
      <c r="B61" s="112" t="s">
        <v>140</v>
      </c>
      <c r="C61" s="112"/>
      <c r="D61" s="112"/>
      <c r="E61" s="112"/>
      <c r="F61" s="112"/>
      <c r="G61" s="112"/>
      <c r="H61" s="112"/>
      <c r="I61" s="112"/>
      <c r="J61" s="113">
        <f>+'[1]Detail May2025'!F24/1000</f>
        <v>1398.6</v>
      </c>
    </row>
    <row r="62" spans="2:10" x14ac:dyDescent="0.3">
      <c r="B62" s="114" t="s">
        <v>141</v>
      </c>
      <c r="J62" s="115">
        <f>SUM(J58:J61)</f>
        <v>7678.1319999999996</v>
      </c>
    </row>
    <row r="63" spans="2:10" x14ac:dyDescent="0.3">
      <c r="J63" s="111"/>
    </row>
    <row r="64" spans="2:10" x14ac:dyDescent="0.3">
      <c r="B64" s="61" t="s">
        <v>142</v>
      </c>
      <c r="J64" s="115">
        <f>+J48+J53-J62</f>
        <v>5139.8680000000004</v>
      </c>
    </row>
    <row r="65" spans="2:10" x14ac:dyDescent="0.3">
      <c r="B65" s="119" t="s">
        <v>143</v>
      </c>
      <c r="C65" s="112"/>
      <c r="D65" s="112"/>
      <c r="E65" s="112"/>
      <c r="F65" s="112"/>
      <c r="G65" s="112"/>
      <c r="H65" s="112"/>
      <c r="I65" s="112"/>
      <c r="J65" s="113">
        <v>300</v>
      </c>
    </row>
    <row r="66" spans="2:10" x14ac:dyDescent="0.3">
      <c r="J66" s="115">
        <f>SUM(J64:J65)</f>
        <v>5439.8680000000004</v>
      </c>
    </row>
    <row r="67" spans="2:10" x14ac:dyDescent="0.3">
      <c r="B67" s="61" t="s">
        <v>144</v>
      </c>
      <c r="J67" s="111"/>
    </row>
    <row r="68" spans="2:10" x14ac:dyDescent="0.3">
      <c r="B68" t="s">
        <v>104</v>
      </c>
      <c r="J68" s="111">
        <f>+J34</f>
        <v>2000</v>
      </c>
    </row>
    <row r="69" spans="2:10" x14ac:dyDescent="0.3">
      <c r="B69" t="s">
        <v>105</v>
      </c>
      <c r="J69" s="111">
        <f>+J35</f>
        <v>1000</v>
      </c>
    </row>
    <row r="70" spans="2:10" x14ac:dyDescent="0.3">
      <c r="B70" t="s">
        <v>145</v>
      </c>
      <c r="J70" s="111">
        <f>+J36</f>
        <v>1500</v>
      </c>
    </row>
    <row r="71" spans="2:10" x14ac:dyDescent="0.3">
      <c r="B71" s="112" t="s">
        <v>106</v>
      </c>
      <c r="C71" s="112"/>
      <c r="D71" s="112"/>
      <c r="E71" s="112"/>
      <c r="F71" s="112"/>
      <c r="G71" s="112"/>
      <c r="H71" s="112"/>
      <c r="I71" s="112"/>
      <c r="J71" s="113">
        <f>+J37</f>
        <v>1000</v>
      </c>
    </row>
    <row r="72" spans="2:10" x14ac:dyDescent="0.3">
      <c r="B72" s="114" t="s">
        <v>146</v>
      </c>
      <c r="J72" s="115">
        <f>SUM(J68:J71)</f>
        <v>5500</v>
      </c>
    </row>
    <row r="96" spans="1:2" x14ac:dyDescent="0.3">
      <c r="A96" t="s">
        <v>55</v>
      </c>
      <c r="B96" s="61" t="s">
        <v>123</v>
      </c>
    </row>
    <row r="97" spans="1:11" x14ac:dyDescent="0.3">
      <c r="B97" s="61"/>
    </row>
    <row r="98" spans="1:11" ht="24" x14ac:dyDescent="0.3">
      <c r="A98" s="15"/>
      <c r="B98" s="50" t="s">
        <v>44</v>
      </c>
      <c r="C98" s="72"/>
      <c r="D98" s="72"/>
      <c r="E98" s="107" t="s">
        <v>115</v>
      </c>
      <c r="F98" s="108"/>
      <c r="G98" s="50"/>
      <c r="H98" s="73" t="s">
        <v>116</v>
      </c>
      <c r="I98" s="50"/>
      <c r="J98" s="109" t="s">
        <v>117</v>
      </c>
      <c r="K98" s="110"/>
    </row>
    <row r="99" spans="1:11" x14ac:dyDescent="0.3">
      <c r="E99" s="96" t="s">
        <v>96</v>
      </c>
      <c r="F99" s="97" t="s">
        <v>71</v>
      </c>
      <c r="H99" s="98" t="s">
        <v>96</v>
      </c>
      <c r="J99" s="96" t="s">
        <v>96</v>
      </c>
      <c r="K99" s="97" t="s">
        <v>71</v>
      </c>
    </row>
    <row r="100" spans="1:11" x14ac:dyDescent="0.3">
      <c r="E100" s="74"/>
      <c r="F100" s="75"/>
      <c r="H100" s="88"/>
      <c r="J100" s="74"/>
      <c r="K100" s="75"/>
    </row>
    <row r="101" spans="1:11" x14ac:dyDescent="0.3">
      <c r="A101" t="s">
        <v>55</v>
      </c>
      <c r="B101" s="70" t="s">
        <v>94</v>
      </c>
      <c r="C101" s="71"/>
      <c r="D101" s="71"/>
      <c r="E101" s="76">
        <v>3000</v>
      </c>
      <c r="F101" s="77">
        <f>+E101/$E$137</f>
        <v>0.24970867321458298</v>
      </c>
      <c r="G101" s="70"/>
      <c r="H101" s="89">
        <f>+SUM(H102:H104)</f>
        <v>1580</v>
      </c>
      <c r="I101" s="70"/>
      <c r="J101" s="76">
        <v>3000</v>
      </c>
      <c r="K101" s="77">
        <f>+J101/$J$137</f>
        <v>0.1841168528292623</v>
      </c>
    </row>
    <row r="102" spans="1:11" x14ac:dyDescent="0.3">
      <c r="B102" s="62" t="s">
        <v>66</v>
      </c>
      <c r="E102" s="78"/>
      <c r="F102" s="79"/>
      <c r="H102" s="90">
        <v>500</v>
      </c>
      <c r="J102" s="78">
        <v>500</v>
      </c>
      <c r="K102" s="79"/>
    </row>
    <row r="103" spans="1:11" x14ac:dyDescent="0.3">
      <c r="B103" s="62" t="s">
        <v>98</v>
      </c>
      <c r="E103" s="78"/>
      <c r="F103" s="79"/>
      <c r="H103" s="90">
        <v>550</v>
      </c>
      <c r="J103" s="78">
        <v>550</v>
      </c>
      <c r="K103" s="79"/>
    </row>
    <row r="104" spans="1:11" x14ac:dyDescent="0.3">
      <c r="B104" s="65" t="s">
        <v>67</v>
      </c>
      <c r="C104" s="66"/>
      <c r="D104" s="66"/>
      <c r="E104" s="80"/>
      <c r="F104" s="81"/>
      <c r="G104" s="66"/>
      <c r="H104" s="91">
        <v>530</v>
      </c>
      <c r="I104" s="66"/>
      <c r="J104" s="80">
        <v>530</v>
      </c>
      <c r="K104" s="81"/>
    </row>
    <row r="105" spans="1:11" x14ac:dyDescent="0.3">
      <c r="B105" s="63" t="s">
        <v>108</v>
      </c>
      <c r="C105" s="64"/>
      <c r="D105" s="64"/>
      <c r="E105" s="82"/>
      <c r="F105" s="83"/>
      <c r="G105" s="64"/>
      <c r="H105" s="92">
        <f>+E101-SUM(H102:H104)</f>
        <v>1420</v>
      </c>
      <c r="J105" s="82">
        <f>+J101-SUM(J102:J104)</f>
        <v>1420</v>
      </c>
      <c r="K105" s="79"/>
    </row>
    <row r="106" spans="1:11" x14ac:dyDescent="0.3">
      <c r="E106" s="78"/>
      <c r="F106" s="79"/>
      <c r="H106" s="88"/>
      <c r="J106" s="84"/>
      <c r="K106" s="79"/>
    </row>
    <row r="107" spans="1:11" x14ac:dyDescent="0.3">
      <c r="B107" s="70" t="s">
        <v>99</v>
      </c>
      <c r="C107" s="70"/>
      <c r="D107" s="70"/>
      <c r="E107" s="76">
        <v>2500</v>
      </c>
      <c r="F107" s="77">
        <f>+E107/$E$137</f>
        <v>0.20809056101215248</v>
      </c>
      <c r="G107" s="70"/>
      <c r="H107" s="93">
        <f>+H108</f>
        <v>40</v>
      </c>
      <c r="I107" s="70"/>
      <c r="J107" s="76">
        <v>2500</v>
      </c>
      <c r="K107" s="77">
        <f>+J107/$J$137</f>
        <v>0.15343071069105191</v>
      </c>
    </row>
    <row r="108" spans="1:11" x14ac:dyDescent="0.3">
      <c r="B108" s="65" t="s">
        <v>100</v>
      </c>
      <c r="C108" s="66"/>
      <c r="D108" s="66"/>
      <c r="E108" s="80"/>
      <c r="F108" s="81"/>
      <c r="G108" s="66"/>
      <c r="H108" s="94">
        <v>40</v>
      </c>
      <c r="I108" s="66"/>
      <c r="J108" s="86">
        <f>+H108</f>
        <v>40</v>
      </c>
      <c r="K108" s="81"/>
    </row>
    <row r="109" spans="1:11" x14ac:dyDescent="0.3">
      <c r="B109" s="63" t="s">
        <v>108</v>
      </c>
      <c r="C109" s="64"/>
      <c r="D109" s="64"/>
      <c r="E109" s="82"/>
      <c r="F109" s="83"/>
      <c r="G109" s="64"/>
      <c r="H109" s="92">
        <f>+E107-H108</f>
        <v>2460</v>
      </c>
      <c r="J109" s="82">
        <f>+H109</f>
        <v>2460</v>
      </c>
      <c r="K109" s="79"/>
    </row>
    <row r="110" spans="1:11" x14ac:dyDescent="0.3">
      <c r="B110" s="62"/>
      <c r="E110" s="78"/>
      <c r="F110" s="79"/>
      <c r="H110" s="88"/>
      <c r="J110" s="84"/>
      <c r="K110" s="79"/>
    </row>
    <row r="111" spans="1:11" x14ac:dyDescent="0.3">
      <c r="A111" t="s">
        <v>55</v>
      </c>
      <c r="B111" s="70" t="s">
        <v>70</v>
      </c>
      <c r="C111" s="70"/>
      <c r="D111" s="70"/>
      <c r="E111" s="76">
        <v>2000</v>
      </c>
      <c r="F111" s="77">
        <f>+E111/$E$137</f>
        <v>0.16647244880972198</v>
      </c>
      <c r="G111" s="70"/>
      <c r="H111" s="89">
        <v>2000</v>
      </c>
      <c r="I111" s="70"/>
      <c r="J111" s="76">
        <v>2000</v>
      </c>
      <c r="K111" s="77">
        <f>+J111/$J$137</f>
        <v>0.12274456855284153</v>
      </c>
    </row>
    <row r="112" spans="1:11" x14ac:dyDescent="0.3">
      <c r="E112" s="78"/>
      <c r="F112" s="79"/>
      <c r="H112" s="88"/>
      <c r="J112" s="84"/>
      <c r="K112" s="79"/>
    </row>
    <row r="113" spans="1:11" x14ac:dyDescent="0.3">
      <c r="B113" s="70" t="s">
        <v>107</v>
      </c>
      <c r="C113" s="70"/>
      <c r="D113" s="70"/>
      <c r="E113" s="76">
        <v>1700</v>
      </c>
      <c r="F113" s="77">
        <f>+E113/$E$137</f>
        <v>0.14150158148826369</v>
      </c>
      <c r="G113" s="70"/>
      <c r="H113" s="93">
        <f>+SUM(H114:H116)</f>
        <v>950</v>
      </c>
      <c r="I113" s="70"/>
      <c r="J113" s="85">
        <v>950</v>
      </c>
      <c r="K113" s="77">
        <f>+J113/$J$137</f>
        <v>5.8303670062599733E-2</v>
      </c>
    </row>
    <row r="114" spans="1:11" x14ac:dyDescent="0.3">
      <c r="B114" s="62" t="s">
        <v>101</v>
      </c>
      <c r="E114" s="78"/>
      <c r="F114" s="79"/>
      <c r="H114" s="88">
        <v>250</v>
      </c>
      <c r="J114" s="84">
        <f>+H114</f>
        <v>250</v>
      </c>
      <c r="K114" s="79"/>
    </row>
    <row r="115" spans="1:11" x14ac:dyDescent="0.3">
      <c r="B115" s="62" t="s">
        <v>69</v>
      </c>
      <c r="E115" s="78"/>
      <c r="F115" s="79"/>
      <c r="H115" s="88">
        <v>200</v>
      </c>
      <c r="J115" s="84">
        <f>+H115</f>
        <v>200</v>
      </c>
      <c r="K115" s="79"/>
    </row>
    <row r="116" spans="1:11" x14ac:dyDescent="0.3">
      <c r="B116" s="65" t="s">
        <v>68</v>
      </c>
      <c r="C116" s="66"/>
      <c r="D116" s="66"/>
      <c r="E116" s="80"/>
      <c r="F116" s="81"/>
      <c r="G116" s="66"/>
      <c r="H116" s="94">
        <v>500</v>
      </c>
      <c r="I116" s="66"/>
      <c r="J116" s="86">
        <f>+H116</f>
        <v>500</v>
      </c>
      <c r="K116" s="81"/>
    </row>
    <row r="117" spans="1:11" x14ac:dyDescent="0.3">
      <c r="B117" s="63" t="s">
        <v>108</v>
      </c>
      <c r="C117" s="64"/>
      <c r="D117" s="64"/>
      <c r="E117" s="82"/>
      <c r="F117" s="83"/>
      <c r="G117" s="64"/>
      <c r="H117" s="92">
        <f>+E113-SUM(H114:H116)</f>
        <v>750</v>
      </c>
      <c r="J117" s="84">
        <v>0</v>
      </c>
      <c r="K117" s="79"/>
    </row>
    <row r="118" spans="1:11" x14ac:dyDescent="0.3">
      <c r="E118" s="78"/>
      <c r="F118" s="79"/>
      <c r="H118" s="88"/>
      <c r="J118" s="84"/>
      <c r="K118" s="79"/>
    </row>
    <row r="119" spans="1:11" x14ac:dyDescent="0.3">
      <c r="B119" s="70" t="s">
        <v>120</v>
      </c>
      <c r="C119" s="70"/>
      <c r="D119" s="70"/>
      <c r="E119" s="76">
        <f>+SUM(E120:E124)</f>
        <v>2064</v>
      </c>
      <c r="F119" s="77">
        <f>+E119/$E$137</f>
        <v>0.17179956717163308</v>
      </c>
      <c r="G119" s="70"/>
      <c r="H119" s="76">
        <f>+SUM(H120:H124)</f>
        <v>2064</v>
      </c>
      <c r="I119" s="70"/>
      <c r="J119" s="76">
        <f>+SUM(J120:J124)</f>
        <v>2064</v>
      </c>
      <c r="K119" s="77">
        <f>+J119/$J$137</f>
        <v>0.12667239474653247</v>
      </c>
    </row>
    <row r="120" spans="1:11" x14ac:dyDescent="0.3">
      <c r="B120" t="s">
        <v>27</v>
      </c>
      <c r="E120" s="78">
        <v>500</v>
      </c>
      <c r="F120" s="79"/>
      <c r="H120" s="105">
        <v>500</v>
      </c>
      <c r="J120" s="78">
        <v>500</v>
      </c>
      <c r="K120" s="79"/>
    </row>
    <row r="121" spans="1:11" x14ac:dyDescent="0.3">
      <c r="B121" t="s">
        <v>35</v>
      </c>
      <c r="E121" s="78">
        <v>250</v>
      </c>
      <c r="F121" s="79"/>
      <c r="H121" s="90">
        <v>250</v>
      </c>
      <c r="J121" s="78">
        <v>250</v>
      </c>
      <c r="K121" s="79"/>
    </row>
    <row r="122" spans="1:11" x14ac:dyDescent="0.3">
      <c r="B122" t="s">
        <v>33</v>
      </c>
      <c r="E122" s="78">
        <v>1000</v>
      </c>
      <c r="F122" s="79"/>
      <c r="H122" s="90">
        <v>1000</v>
      </c>
      <c r="J122" s="78">
        <v>1000</v>
      </c>
      <c r="K122" s="79"/>
    </row>
    <row r="123" spans="1:11" x14ac:dyDescent="0.3">
      <c r="B123" t="s">
        <v>37</v>
      </c>
      <c r="E123" s="78">
        <v>44</v>
      </c>
      <c r="F123" s="79"/>
      <c r="H123" s="90">
        <v>44</v>
      </c>
      <c r="J123" s="78">
        <v>44</v>
      </c>
      <c r="K123" s="79"/>
    </row>
    <row r="124" spans="1:11" x14ac:dyDescent="0.3">
      <c r="B124" s="66" t="s">
        <v>122</v>
      </c>
      <c r="C124" s="66"/>
      <c r="D124" s="66"/>
      <c r="E124" s="80">
        <v>270</v>
      </c>
      <c r="F124" s="81"/>
      <c r="G124" s="66"/>
      <c r="H124" s="91">
        <v>270</v>
      </c>
      <c r="I124" s="66"/>
      <c r="J124" s="80">
        <v>270</v>
      </c>
      <c r="K124" s="81"/>
    </row>
    <row r="125" spans="1:11" x14ac:dyDescent="0.3">
      <c r="E125" s="78"/>
      <c r="F125" s="79"/>
      <c r="H125" s="88"/>
      <c r="J125" s="84"/>
      <c r="K125" s="79"/>
    </row>
    <row r="126" spans="1:11" x14ac:dyDescent="0.3">
      <c r="E126" s="78"/>
      <c r="F126" s="79"/>
      <c r="H126" s="88"/>
      <c r="J126" s="84"/>
      <c r="K126" s="79"/>
    </row>
    <row r="127" spans="1:11" x14ac:dyDescent="0.3">
      <c r="A127" t="s">
        <v>55</v>
      </c>
      <c r="B127" s="70" t="s">
        <v>95</v>
      </c>
      <c r="C127" s="70"/>
      <c r="D127" s="70"/>
      <c r="E127" s="76">
        <v>750</v>
      </c>
      <c r="F127" s="77">
        <f>+E127/$E$137</f>
        <v>6.2427168303645746E-2</v>
      </c>
      <c r="G127" s="70"/>
      <c r="H127" s="93">
        <v>0</v>
      </c>
      <c r="I127" s="70"/>
      <c r="J127" s="85">
        <v>0</v>
      </c>
      <c r="K127" s="77">
        <f>+J127/$J$137</f>
        <v>0</v>
      </c>
    </row>
    <row r="128" spans="1:11" x14ac:dyDescent="0.3">
      <c r="E128" s="84"/>
      <c r="F128" s="79"/>
      <c r="H128" s="88"/>
      <c r="J128" s="84"/>
      <c r="K128" s="79"/>
    </row>
    <row r="129" spans="1:11" x14ac:dyDescent="0.3">
      <c r="B129" s="70" t="s">
        <v>102</v>
      </c>
      <c r="C129" s="70"/>
      <c r="D129" s="70"/>
      <c r="E129" s="85">
        <v>0</v>
      </c>
      <c r="F129" s="77">
        <f>+E129/$E$137</f>
        <v>0</v>
      </c>
      <c r="G129" s="70"/>
      <c r="H129" s="89">
        <f>+SUM(H130:H135)</f>
        <v>580</v>
      </c>
      <c r="I129" s="71"/>
      <c r="J129" s="76">
        <f>+SUM(J130:J135)</f>
        <v>5780</v>
      </c>
      <c r="K129" s="77">
        <f>+J129/$J$137</f>
        <v>0.35473180311771202</v>
      </c>
    </row>
    <row r="130" spans="1:11" x14ac:dyDescent="0.3">
      <c r="B130" s="62" t="s">
        <v>93</v>
      </c>
      <c r="E130" s="84"/>
      <c r="F130" s="79"/>
      <c r="H130" s="88">
        <v>30</v>
      </c>
      <c r="J130" s="84">
        <v>30</v>
      </c>
      <c r="K130" s="79"/>
    </row>
    <row r="131" spans="1:11" x14ac:dyDescent="0.3">
      <c r="B131" s="62" t="s">
        <v>103</v>
      </c>
      <c r="E131" s="84"/>
      <c r="F131" s="79"/>
      <c r="H131" s="88">
        <v>250</v>
      </c>
      <c r="J131" s="84">
        <v>250</v>
      </c>
      <c r="K131" s="79"/>
    </row>
    <row r="132" spans="1:11" x14ac:dyDescent="0.3">
      <c r="B132" s="62" t="s">
        <v>104</v>
      </c>
      <c r="E132" s="84"/>
      <c r="F132" s="79"/>
      <c r="H132" s="90">
        <v>0</v>
      </c>
      <c r="J132" s="78">
        <v>2000</v>
      </c>
      <c r="K132" s="79"/>
    </row>
    <row r="133" spans="1:11" x14ac:dyDescent="0.3">
      <c r="B133" s="62" t="s">
        <v>105</v>
      </c>
      <c r="E133" s="84"/>
      <c r="F133" s="79"/>
      <c r="H133" s="88">
        <v>0</v>
      </c>
      <c r="J133" s="78">
        <v>1000</v>
      </c>
      <c r="K133" s="79"/>
    </row>
    <row r="134" spans="1:11" x14ac:dyDescent="0.3">
      <c r="B134" s="62" t="s">
        <v>113</v>
      </c>
      <c r="E134" s="84"/>
      <c r="F134" s="79"/>
      <c r="H134" s="88">
        <v>100</v>
      </c>
      <c r="J134" s="78">
        <v>1500</v>
      </c>
      <c r="K134" s="79"/>
    </row>
    <row r="135" spans="1:11" x14ac:dyDescent="0.3">
      <c r="B135" s="65" t="s">
        <v>106</v>
      </c>
      <c r="C135" s="66"/>
      <c r="D135" s="66"/>
      <c r="E135" s="86"/>
      <c r="F135" s="81"/>
      <c r="G135" s="66"/>
      <c r="H135" s="94">
        <v>200</v>
      </c>
      <c r="I135" s="66"/>
      <c r="J135" s="80">
        <v>1000</v>
      </c>
      <c r="K135" s="81"/>
    </row>
    <row r="136" spans="1:11" x14ac:dyDescent="0.3">
      <c r="E136" s="84"/>
      <c r="F136" s="79"/>
      <c r="H136" s="88"/>
      <c r="J136" s="84"/>
      <c r="K136" s="79"/>
    </row>
    <row r="137" spans="1:11" ht="15" thickBot="1" x14ac:dyDescent="0.35">
      <c r="A137" t="s">
        <v>55</v>
      </c>
      <c r="B137" s="99" t="s">
        <v>121</v>
      </c>
      <c r="C137" s="99"/>
      <c r="D137" s="99"/>
      <c r="E137" s="100">
        <f>+E101+E107+E111+E113+E127+E119+E129</f>
        <v>12014</v>
      </c>
      <c r="F137" s="104">
        <f>+F101+F107+F111+F113+F119+F127+F129</f>
        <v>0.99999999999999978</v>
      </c>
      <c r="G137" s="101"/>
      <c r="H137" s="102">
        <f>+H101+H107+H111+H113+H127+H129</f>
        <v>5150</v>
      </c>
      <c r="I137" s="101"/>
      <c r="J137" s="100">
        <f>+J101+J107+J111+J113+J127+J129+J119</f>
        <v>16294</v>
      </c>
      <c r="K137" s="104">
        <f>+K101+K107+K111+K113+K119+K127+K129</f>
        <v>1</v>
      </c>
    </row>
  </sheetData>
  <mergeCells count="8">
    <mergeCell ref="O8:P8"/>
    <mergeCell ref="Q8:R8"/>
    <mergeCell ref="S8:T8"/>
    <mergeCell ref="E98:F98"/>
    <mergeCell ref="J98:K98"/>
    <mergeCell ref="E8:F8"/>
    <mergeCell ref="J8:K8"/>
    <mergeCell ref="M8:N8"/>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9C71A-3109-4FDD-A0BF-3026DEC27CC0}">
  <dimension ref="A1:S71"/>
  <sheetViews>
    <sheetView showGridLines="0" zoomScale="70" zoomScaleNormal="70" workbookViewId="0">
      <selection activeCell="B2" sqref="B2"/>
    </sheetView>
  </sheetViews>
  <sheetFormatPr defaultColWidth="0" defaultRowHeight="14.4" zeroHeight="1" x14ac:dyDescent="0.3"/>
  <cols>
    <col min="1" max="1" width="2.77734375" customWidth="1"/>
    <col min="2" max="2" width="32.6640625" customWidth="1"/>
    <col min="3" max="3" width="15.21875" customWidth="1"/>
    <col min="4" max="10" width="12.77734375" customWidth="1"/>
    <col min="11" max="11" width="79.5546875" customWidth="1"/>
    <col min="12" max="12" width="8.88671875" customWidth="1"/>
    <col min="13" max="13" width="53.33203125" customWidth="1"/>
    <col min="14" max="19" width="8.88671875" customWidth="1"/>
    <col min="20" max="16384" width="8.88671875" hidden="1"/>
  </cols>
  <sheetData>
    <row r="1" spans="1:13" x14ac:dyDescent="0.3"/>
    <row r="2" spans="1:13" ht="18" x14ac:dyDescent="0.3">
      <c r="B2" s="58" t="s">
        <v>91</v>
      </c>
    </row>
    <row r="3" spans="1:13" ht="15.6" x14ac:dyDescent="0.3">
      <c r="B3" s="59" t="s">
        <v>1</v>
      </c>
    </row>
    <row r="4" spans="1:13" x14ac:dyDescent="0.3">
      <c r="B4" t="s">
        <v>73</v>
      </c>
    </row>
    <row r="5" spans="1:13" x14ac:dyDescent="0.3"/>
    <row r="6" spans="1:13" ht="35.1" customHeight="1" x14ac:dyDescent="0.3">
      <c r="A6" s="15" t="s">
        <v>55</v>
      </c>
      <c r="B6" s="3" t="s">
        <v>3</v>
      </c>
      <c r="C6" s="3" t="s">
        <v>4</v>
      </c>
      <c r="D6" s="4" t="s">
        <v>45</v>
      </c>
      <c r="E6" s="4" t="s">
        <v>52</v>
      </c>
      <c r="F6" s="4" t="s">
        <v>148</v>
      </c>
      <c r="G6" s="4" t="s">
        <v>149</v>
      </c>
      <c r="H6" s="4" t="s">
        <v>150</v>
      </c>
      <c r="I6" s="4" t="s">
        <v>151</v>
      </c>
      <c r="J6" s="4" t="s">
        <v>152</v>
      </c>
      <c r="K6" s="4" t="s">
        <v>153</v>
      </c>
      <c r="M6" s="4" t="s">
        <v>82</v>
      </c>
    </row>
    <row r="7" spans="1:13" x14ac:dyDescent="0.3">
      <c r="A7" s="15"/>
      <c r="B7" s="5"/>
      <c r="C7" s="5"/>
      <c r="D7" s="6"/>
      <c r="E7" s="6"/>
      <c r="F7" s="6"/>
      <c r="G7" s="6"/>
      <c r="H7" s="6"/>
      <c r="I7" s="6"/>
      <c r="J7" s="6"/>
      <c r="K7" s="6"/>
    </row>
    <row r="8" spans="1:13" x14ac:dyDescent="0.3">
      <c r="A8" s="15"/>
      <c r="B8" s="7" t="s">
        <v>6</v>
      </c>
      <c r="C8" s="8"/>
      <c r="D8" s="8"/>
      <c r="E8" s="8"/>
      <c r="F8" s="8"/>
      <c r="G8" s="8"/>
      <c r="H8" s="8"/>
      <c r="I8" s="8"/>
      <c r="J8" s="8"/>
      <c r="K8" s="8"/>
    </row>
    <row r="9" spans="1:13" ht="43.2" x14ac:dyDescent="0.3">
      <c r="A9" s="15"/>
      <c r="B9" s="36" t="s">
        <v>7</v>
      </c>
      <c r="C9" s="37" t="s">
        <v>8</v>
      </c>
      <c r="D9" s="38">
        <v>500000</v>
      </c>
      <c r="E9" s="38">
        <v>43855</v>
      </c>
      <c r="F9" s="38">
        <f>+D9-E9</f>
        <v>456145</v>
      </c>
      <c r="G9" s="38"/>
      <c r="H9" s="38"/>
      <c r="I9" s="38"/>
      <c r="J9" s="38"/>
      <c r="K9" s="37" t="s">
        <v>76</v>
      </c>
      <c r="M9" s="8"/>
    </row>
    <row r="10" spans="1:13" ht="48.75" customHeight="1" x14ac:dyDescent="0.3">
      <c r="A10" s="15"/>
      <c r="B10" s="23" t="s">
        <v>10</v>
      </c>
      <c r="C10" s="16" t="s">
        <v>8</v>
      </c>
      <c r="D10" s="17">
        <v>530000</v>
      </c>
      <c r="E10" s="17">
        <v>53000</v>
      </c>
      <c r="F10" s="17">
        <f t="shared" ref="F10:F12" si="0">+D10-E10</f>
        <v>477000</v>
      </c>
      <c r="G10" s="17"/>
      <c r="H10" s="17"/>
      <c r="I10" s="17"/>
      <c r="J10" s="17"/>
      <c r="K10" s="16" t="s">
        <v>11</v>
      </c>
      <c r="M10" s="8"/>
    </row>
    <row r="11" spans="1:13" ht="43.2" x14ac:dyDescent="0.3">
      <c r="A11" s="15"/>
      <c r="B11" s="42" t="s">
        <v>54</v>
      </c>
      <c r="C11" s="43" t="s">
        <v>72</v>
      </c>
      <c r="D11" s="44">
        <v>540000</v>
      </c>
      <c r="E11" s="44">
        <v>0</v>
      </c>
      <c r="F11" s="44">
        <f t="shared" si="0"/>
        <v>540000</v>
      </c>
      <c r="G11" s="44"/>
      <c r="H11" s="44"/>
      <c r="I11" s="44"/>
      <c r="J11" s="44"/>
      <c r="K11" s="43" t="s">
        <v>77</v>
      </c>
      <c r="M11" s="8"/>
    </row>
    <row r="12" spans="1:13" ht="43.2" x14ac:dyDescent="0.3">
      <c r="A12" s="15"/>
      <c r="B12" s="24" t="s">
        <v>74</v>
      </c>
      <c r="C12" s="54" t="s">
        <v>75</v>
      </c>
      <c r="D12" s="11">
        <v>40000</v>
      </c>
      <c r="E12" s="11">
        <v>0</v>
      </c>
      <c r="F12" s="11">
        <f t="shared" si="0"/>
        <v>40000</v>
      </c>
      <c r="G12" s="11"/>
      <c r="H12" s="11"/>
      <c r="I12" s="11"/>
      <c r="J12" s="11"/>
      <c r="K12" s="10" t="s">
        <v>90</v>
      </c>
      <c r="M12" s="8"/>
    </row>
    <row r="13" spans="1:13" x14ac:dyDescent="0.3">
      <c r="A13" s="15"/>
      <c r="B13" s="55" t="s">
        <v>49</v>
      </c>
      <c r="C13" s="56"/>
      <c r="D13" s="57">
        <f>SUM(D9:D12)</f>
        <v>1610000</v>
      </c>
      <c r="E13" s="57">
        <f>SUM(E9:E12)</f>
        <v>96855</v>
      </c>
      <c r="F13" s="57">
        <f>SUM(F9:F12)</f>
        <v>1513145</v>
      </c>
      <c r="G13" s="57"/>
      <c r="H13" s="57"/>
      <c r="I13" s="57"/>
      <c r="J13" s="57"/>
      <c r="K13" s="56"/>
      <c r="M13" s="8"/>
    </row>
    <row r="14" spans="1:13" x14ac:dyDescent="0.3">
      <c r="A14" s="15"/>
      <c r="B14" s="8"/>
      <c r="C14" s="8"/>
      <c r="D14" s="12"/>
      <c r="E14" s="12"/>
      <c r="F14" s="12"/>
      <c r="G14" s="12"/>
      <c r="H14" s="12"/>
      <c r="I14" s="12"/>
      <c r="J14" s="12"/>
      <c r="K14" s="8"/>
      <c r="M14" s="8"/>
    </row>
    <row r="15" spans="1:13" x14ac:dyDescent="0.3">
      <c r="A15" s="15" t="s">
        <v>55</v>
      </c>
      <c r="B15" s="7" t="s">
        <v>13</v>
      </c>
      <c r="C15" s="8"/>
      <c r="D15" s="13"/>
      <c r="E15" s="13"/>
      <c r="F15" s="13"/>
      <c r="G15" s="13"/>
      <c r="H15" s="13"/>
      <c r="I15" s="13"/>
      <c r="J15" s="13"/>
      <c r="K15" s="8"/>
      <c r="M15" s="8"/>
    </row>
    <row r="16" spans="1:13" ht="57.6" x14ac:dyDescent="0.3">
      <c r="A16" s="15"/>
      <c r="B16" s="36" t="s">
        <v>57</v>
      </c>
      <c r="C16" s="37" t="s">
        <v>14</v>
      </c>
      <c r="D16" s="38">
        <v>250000</v>
      </c>
      <c r="E16" s="38">
        <f>136189+51424</f>
        <v>187613</v>
      </c>
      <c r="F16" s="38">
        <f t="shared" ref="F16:F19" si="1">+D16-E16</f>
        <v>62387</v>
      </c>
      <c r="G16" s="38"/>
      <c r="H16" s="38"/>
      <c r="I16" s="38"/>
      <c r="J16" s="38"/>
      <c r="K16" s="37" t="s">
        <v>78</v>
      </c>
      <c r="M16" s="8" t="s">
        <v>83</v>
      </c>
    </row>
    <row r="17" spans="1:13" ht="49.5" customHeight="1" x14ac:dyDescent="0.3">
      <c r="A17" s="15"/>
      <c r="B17" s="25" t="s">
        <v>16</v>
      </c>
      <c r="C17" s="18" t="s">
        <v>17</v>
      </c>
      <c r="D17" s="19">
        <v>200000</v>
      </c>
      <c r="E17" s="19">
        <f>132000+14000</f>
        <v>146000</v>
      </c>
      <c r="F17" s="19">
        <f t="shared" si="1"/>
        <v>54000</v>
      </c>
      <c r="G17" s="19"/>
      <c r="H17" s="19"/>
      <c r="I17" s="19"/>
      <c r="J17" s="19"/>
      <c r="K17" s="18" t="s">
        <v>18</v>
      </c>
      <c r="M17" s="8"/>
    </row>
    <row r="18" spans="1:13" ht="48.75" customHeight="1" x14ac:dyDescent="0.3">
      <c r="A18" s="15"/>
      <c r="B18" s="42" t="s">
        <v>19</v>
      </c>
      <c r="C18" s="43" t="s">
        <v>17</v>
      </c>
      <c r="D18" s="44">
        <v>500000</v>
      </c>
      <c r="E18" s="44">
        <v>0</v>
      </c>
      <c r="F18" s="44">
        <f t="shared" si="1"/>
        <v>500000</v>
      </c>
      <c r="G18" s="44"/>
      <c r="H18" s="44"/>
      <c r="I18" s="44"/>
      <c r="J18" s="44"/>
      <c r="K18" s="43" t="s">
        <v>20</v>
      </c>
      <c r="M18" s="8"/>
    </row>
    <row r="19" spans="1:13" ht="43.2" x14ac:dyDescent="0.3">
      <c r="A19" s="15"/>
      <c r="B19" s="26" t="s">
        <v>59</v>
      </c>
      <c r="C19" s="21" t="s">
        <v>50</v>
      </c>
      <c r="D19" s="22">
        <v>270000</v>
      </c>
      <c r="E19" s="22">
        <v>270000</v>
      </c>
      <c r="F19" s="22">
        <f t="shared" si="1"/>
        <v>0</v>
      </c>
      <c r="G19" s="22"/>
      <c r="H19" s="22"/>
      <c r="I19" s="22"/>
      <c r="J19" s="22"/>
      <c r="K19" s="20" t="s">
        <v>79</v>
      </c>
      <c r="M19" s="8" t="s">
        <v>84</v>
      </c>
    </row>
    <row r="20" spans="1:13" x14ac:dyDescent="0.3">
      <c r="A20" s="15"/>
      <c r="B20" s="55" t="s">
        <v>49</v>
      </c>
      <c r="C20" s="56"/>
      <c r="D20" s="57">
        <f>SUM(D16:D19)</f>
        <v>1220000</v>
      </c>
      <c r="E20" s="57">
        <f>SUM(E16:E19)</f>
        <v>603613</v>
      </c>
      <c r="F20" s="57">
        <f>SUM(F16:F19)</f>
        <v>616387</v>
      </c>
      <c r="G20" s="57"/>
      <c r="H20" s="57"/>
      <c r="I20" s="57"/>
      <c r="J20" s="57"/>
      <c r="K20" s="56"/>
      <c r="M20" s="8"/>
    </row>
    <row r="21" spans="1:13" x14ac:dyDescent="0.3">
      <c r="A21" s="15"/>
      <c r="B21" s="8"/>
      <c r="C21" s="14"/>
      <c r="D21" s="12"/>
      <c r="E21" s="13"/>
      <c r="F21" s="13"/>
      <c r="G21" s="13"/>
      <c r="H21" s="13"/>
      <c r="I21" s="13"/>
      <c r="J21" s="13"/>
      <c r="K21" s="8"/>
      <c r="M21" s="8"/>
    </row>
    <row r="22" spans="1:13" x14ac:dyDescent="0.3">
      <c r="A22" s="15" t="s">
        <v>55</v>
      </c>
      <c r="B22" s="7" t="s">
        <v>21</v>
      </c>
      <c r="C22" s="8"/>
      <c r="D22" s="13"/>
      <c r="E22" s="13"/>
      <c r="F22" s="13"/>
      <c r="G22" s="13"/>
      <c r="H22" s="13"/>
      <c r="I22" s="13"/>
      <c r="J22" s="13"/>
      <c r="K22" s="8"/>
      <c r="M22" s="8"/>
    </row>
    <row r="23" spans="1:13" ht="48.75" customHeight="1" x14ac:dyDescent="0.3">
      <c r="A23" s="15"/>
      <c r="B23" s="39" t="s">
        <v>22</v>
      </c>
      <c r="C23" s="40" t="s">
        <v>23</v>
      </c>
      <c r="D23" s="41">
        <v>2000000</v>
      </c>
      <c r="E23" s="41">
        <v>601400</v>
      </c>
      <c r="F23" s="41">
        <f t="shared" ref="F23" si="2">+D23-E23</f>
        <v>1398600</v>
      </c>
      <c r="G23" s="41"/>
      <c r="H23" s="41"/>
      <c r="I23" s="41"/>
      <c r="J23" s="41"/>
      <c r="K23" s="40" t="s">
        <v>24</v>
      </c>
      <c r="M23" s="8"/>
    </row>
    <row r="24" spans="1:13" x14ac:dyDescent="0.3">
      <c r="A24" s="15"/>
      <c r="B24" s="55" t="s">
        <v>49</v>
      </c>
      <c r="C24" s="56"/>
      <c r="D24" s="57">
        <f>SUM(D23)</f>
        <v>2000000</v>
      </c>
      <c r="E24" s="57">
        <f>SUM(E23)</f>
        <v>601400</v>
      </c>
      <c r="F24" s="57">
        <f>SUM(F23)</f>
        <v>1398600</v>
      </c>
      <c r="G24" s="57"/>
      <c r="H24" s="57"/>
      <c r="I24" s="57"/>
      <c r="J24" s="57"/>
      <c r="K24" s="56"/>
      <c r="M24" s="8"/>
    </row>
    <row r="25" spans="1:13" x14ac:dyDescent="0.3">
      <c r="A25" s="15"/>
      <c r="B25" s="8"/>
      <c r="C25" s="8"/>
      <c r="D25" s="9"/>
      <c r="E25" s="9"/>
      <c r="F25" s="9"/>
      <c r="G25" s="9"/>
      <c r="H25" s="9"/>
      <c r="I25" s="9"/>
      <c r="J25" s="9"/>
      <c r="K25" s="8"/>
      <c r="M25" s="8"/>
    </row>
    <row r="26" spans="1:13" x14ac:dyDescent="0.3">
      <c r="A26" s="15" t="s">
        <v>55</v>
      </c>
      <c r="B26" s="7" t="s">
        <v>26</v>
      </c>
      <c r="C26" s="8"/>
      <c r="D26" s="13"/>
      <c r="E26" s="13"/>
      <c r="F26" s="13"/>
      <c r="G26" s="13"/>
      <c r="H26" s="13"/>
      <c r="I26" s="13"/>
      <c r="J26" s="13"/>
      <c r="K26" s="8"/>
      <c r="M26" s="8"/>
    </row>
    <row r="27" spans="1:13" ht="63.75" customHeight="1" x14ac:dyDescent="0.3">
      <c r="A27" s="15"/>
      <c r="B27" s="36" t="s">
        <v>27</v>
      </c>
      <c r="C27" s="37" t="s">
        <v>28</v>
      </c>
      <c r="D27" s="38">
        <v>500000</v>
      </c>
      <c r="E27" s="38">
        <v>500000</v>
      </c>
      <c r="F27" s="38">
        <f t="shared" ref="F27:F31" si="3">+D27-E27</f>
        <v>0</v>
      </c>
      <c r="G27" s="38"/>
      <c r="H27" s="38"/>
      <c r="I27" s="38"/>
      <c r="J27" s="38"/>
      <c r="K27" s="37" t="s">
        <v>29</v>
      </c>
      <c r="M27" s="8" t="s">
        <v>86</v>
      </c>
    </row>
    <row r="28" spans="1:13" ht="48.75" customHeight="1" x14ac:dyDescent="0.3">
      <c r="A28" s="15"/>
      <c r="B28" s="25" t="s">
        <v>30</v>
      </c>
      <c r="C28" s="18" t="s">
        <v>31</v>
      </c>
      <c r="D28" s="19">
        <v>1000000</v>
      </c>
      <c r="E28" s="19">
        <v>1000000</v>
      </c>
      <c r="F28" s="19">
        <f t="shared" si="3"/>
        <v>0</v>
      </c>
      <c r="G28" s="19"/>
      <c r="H28" s="19"/>
      <c r="I28" s="19"/>
      <c r="J28" s="19"/>
      <c r="K28" s="18" t="s">
        <v>32</v>
      </c>
      <c r="M28" s="8" t="s">
        <v>86</v>
      </c>
    </row>
    <row r="29" spans="1:13" ht="63.75" customHeight="1" x14ac:dyDescent="0.3">
      <c r="A29" s="15"/>
      <c r="B29" s="42" t="s">
        <v>88</v>
      </c>
      <c r="C29" s="43" t="s">
        <v>46</v>
      </c>
      <c r="D29" s="44">
        <v>1000000</v>
      </c>
      <c r="E29" s="44">
        <v>1000000</v>
      </c>
      <c r="F29" s="44">
        <f t="shared" si="3"/>
        <v>0</v>
      </c>
      <c r="G29" s="44"/>
      <c r="H29" s="44"/>
      <c r="I29" s="44"/>
      <c r="J29" s="44"/>
      <c r="K29" s="43" t="s">
        <v>34</v>
      </c>
      <c r="M29" s="8" t="s">
        <v>85</v>
      </c>
    </row>
    <row r="30" spans="1:13" ht="28.8" x14ac:dyDescent="0.3">
      <c r="A30" s="15"/>
      <c r="B30" s="25" t="s">
        <v>35</v>
      </c>
      <c r="C30" s="18" t="s">
        <v>47</v>
      </c>
      <c r="D30" s="19">
        <v>250000</v>
      </c>
      <c r="E30" s="19">
        <v>250000</v>
      </c>
      <c r="F30" s="19">
        <f t="shared" si="3"/>
        <v>0</v>
      </c>
      <c r="G30" s="19"/>
      <c r="H30" s="19"/>
      <c r="I30" s="19"/>
      <c r="J30" s="19"/>
      <c r="K30" s="18" t="s">
        <v>36</v>
      </c>
      <c r="M30" s="8"/>
    </row>
    <row r="31" spans="1:13" ht="33" customHeight="1" x14ac:dyDescent="0.3">
      <c r="A31" s="15"/>
      <c r="B31" s="53" t="s">
        <v>37</v>
      </c>
      <c r="C31" s="45" t="s">
        <v>14</v>
      </c>
      <c r="D31" s="46">
        <v>44421</v>
      </c>
      <c r="E31" s="46">
        <v>44421</v>
      </c>
      <c r="F31" s="46">
        <f t="shared" si="3"/>
        <v>0</v>
      </c>
      <c r="G31" s="46"/>
      <c r="H31" s="46"/>
      <c r="I31" s="46"/>
      <c r="J31" s="46"/>
      <c r="K31" s="45" t="s">
        <v>38</v>
      </c>
      <c r="M31" s="8" t="s">
        <v>87</v>
      </c>
    </row>
    <row r="32" spans="1:13" x14ac:dyDescent="0.3">
      <c r="A32" s="15"/>
      <c r="B32" s="55" t="s">
        <v>49</v>
      </c>
      <c r="C32" s="56"/>
      <c r="D32" s="57">
        <f>SUM(D27:D31)</f>
        <v>2794421</v>
      </c>
      <c r="E32" s="57">
        <f>SUM(E27:E31)</f>
        <v>2794421</v>
      </c>
      <c r="F32" s="57">
        <f>SUM(F27:F31)</f>
        <v>0</v>
      </c>
      <c r="G32" s="57"/>
      <c r="H32" s="57"/>
      <c r="I32" s="57"/>
      <c r="J32" s="57"/>
      <c r="K32" s="56"/>
      <c r="M32" s="8"/>
    </row>
    <row r="33" spans="1:13" x14ac:dyDescent="0.3">
      <c r="A33" s="15"/>
      <c r="B33" s="8"/>
      <c r="C33" s="8"/>
      <c r="D33" s="9"/>
      <c r="E33" s="9"/>
      <c r="F33" s="9"/>
      <c r="G33" s="9"/>
      <c r="H33" s="9"/>
      <c r="I33" s="9"/>
      <c r="J33" s="9"/>
      <c r="K33" s="8"/>
      <c r="M33" s="8"/>
    </row>
    <row r="34" spans="1:13" x14ac:dyDescent="0.3">
      <c r="A34" s="15" t="s">
        <v>55</v>
      </c>
      <c r="B34" s="7" t="s">
        <v>48</v>
      </c>
      <c r="C34" s="8"/>
      <c r="D34" s="13"/>
      <c r="E34" s="13"/>
      <c r="F34" s="13"/>
      <c r="G34" s="13"/>
      <c r="H34" s="13"/>
      <c r="I34" s="13"/>
      <c r="J34" s="13"/>
      <c r="K34" s="8"/>
      <c r="M34" s="8"/>
    </row>
    <row r="35" spans="1:13" ht="28.8" x14ac:dyDescent="0.3">
      <c r="A35" s="15"/>
      <c r="B35" s="36" t="s">
        <v>93</v>
      </c>
      <c r="C35" s="37" t="s">
        <v>40</v>
      </c>
      <c r="D35" s="38">
        <v>30000</v>
      </c>
      <c r="E35" s="38">
        <v>30000</v>
      </c>
      <c r="F35" s="38">
        <f t="shared" ref="F35:F43" si="4">+D35-E35</f>
        <v>0</v>
      </c>
      <c r="G35" s="38"/>
      <c r="H35" s="38"/>
      <c r="I35" s="38"/>
      <c r="J35" s="38"/>
      <c r="K35" s="37" t="s">
        <v>41</v>
      </c>
      <c r="M35" s="8"/>
    </row>
    <row r="36" spans="1:13" ht="33.75" customHeight="1" x14ac:dyDescent="0.3">
      <c r="A36" s="15"/>
      <c r="B36" s="23" t="s">
        <v>39</v>
      </c>
      <c r="C36" s="16" t="s">
        <v>40</v>
      </c>
      <c r="D36" s="17">
        <v>1002000</v>
      </c>
      <c r="E36" s="17">
        <v>1002000</v>
      </c>
      <c r="F36" s="17">
        <f t="shared" si="4"/>
        <v>0</v>
      </c>
      <c r="G36" s="17"/>
      <c r="H36" s="17"/>
      <c r="I36" s="17"/>
      <c r="J36" s="17"/>
      <c r="K36" s="16" t="s">
        <v>41</v>
      </c>
      <c r="M36" s="8"/>
    </row>
    <row r="37" spans="1:13" ht="48.75" customHeight="1" x14ac:dyDescent="0.3">
      <c r="A37" s="15"/>
      <c r="B37" s="42" t="s">
        <v>80</v>
      </c>
      <c r="C37" s="43" t="s">
        <v>72</v>
      </c>
      <c r="D37" s="44">
        <v>250000</v>
      </c>
      <c r="E37" s="44">
        <v>250000</v>
      </c>
      <c r="F37" s="44">
        <f t="shared" si="4"/>
        <v>0</v>
      </c>
      <c r="G37" s="44"/>
      <c r="H37" s="44"/>
      <c r="I37" s="44"/>
      <c r="J37" s="44"/>
      <c r="K37" s="43" t="s">
        <v>81</v>
      </c>
      <c r="M37" s="8"/>
    </row>
    <row r="38" spans="1:13" ht="48.75" customHeight="1" x14ac:dyDescent="0.3">
      <c r="A38" s="15"/>
      <c r="B38" s="26" t="s">
        <v>42</v>
      </c>
      <c r="C38" s="20" t="s">
        <v>8</v>
      </c>
      <c r="D38" s="22">
        <v>201000</v>
      </c>
      <c r="E38" s="22">
        <v>201000</v>
      </c>
      <c r="F38" s="22">
        <f t="shared" si="4"/>
        <v>0</v>
      </c>
      <c r="G38" s="22"/>
      <c r="H38" s="22"/>
      <c r="I38" s="22"/>
      <c r="J38" s="22"/>
      <c r="K38" s="20" t="s">
        <v>43</v>
      </c>
      <c r="M38" s="8"/>
    </row>
    <row r="39" spans="1:13" x14ac:dyDescent="0.3">
      <c r="A39" s="15"/>
      <c r="B39" s="55" t="s">
        <v>49</v>
      </c>
      <c r="C39" s="56"/>
      <c r="D39" s="57">
        <f>SUM(D35:D38)</f>
        <v>1483000</v>
      </c>
      <c r="E39" s="57">
        <f>SUM(E35:E38)</f>
        <v>1483000</v>
      </c>
      <c r="F39" s="57">
        <f t="shared" si="4"/>
        <v>0</v>
      </c>
      <c r="G39" s="57"/>
      <c r="H39" s="57"/>
      <c r="I39" s="57"/>
      <c r="J39" s="57"/>
      <c r="K39" s="56"/>
      <c r="M39" s="8"/>
    </row>
    <row r="40" spans="1:13" x14ac:dyDescent="0.3">
      <c r="A40" s="15"/>
      <c r="B40" s="27"/>
      <c r="C40" s="8"/>
      <c r="D40" s="28"/>
      <c r="E40" s="28"/>
      <c r="F40" s="28"/>
      <c r="G40" s="28"/>
      <c r="H40" s="28"/>
      <c r="I40" s="28"/>
      <c r="J40" s="28"/>
      <c r="K40" s="8"/>
      <c r="M40" s="8"/>
    </row>
    <row r="41" spans="1:13" ht="20.100000000000001" customHeight="1" x14ac:dyDescent="0.3">
      <c r="A41" s="15"/>
      <c r="B41" s="30" t="s">
        <v>61</v>
      </c>
      <c r="C41" s="31"/>
      <c r="D41" s="32">
        <f>+D13+D17+D18+D23+D29/2+D30+D36+D37+D38+D35+D16</f>
        <v>6793000</v>
      </c>
      <c r="E41" s="32">
        <f>+E13+E17+E18+E23+E29/2+E30+E36+E37+E38+E35+E16</f>
        <v>3264868</v>
      </c>
      <c r="F41" s="32">
        <f t="shared" si="4"/>
        <v>3528132</v>
      </c>
      <c r="G41" s="32"/>
      <c r="H41" s="32"/>
      <c r="I41" s="32"/>
      <c r="J41" s="32"/>
      <c r="K41" s="31"/>
      <c r="M41" s="8"/>
    </row>
    <row r="42" spans="1:13" ht="20.100000000000001" customHeight="1" x14ac:dyDescent="0.3">
      <c r="A42" s="15"/>
      <c r="B42" s="47" t="s">
        <v>89</v>
      </c>
      <c r="C42" s="48"/>
      <c r="D42" s="49">
        <f>D19+D27+D28+D29/2+D31</f>
        <v>2314421</v>
      </c>
      <c r="E42" s="49">
        <f>E19+E27+E28+E29/2+E31</f>
        <v>2314421</v>
      </c>
      <c r="F42" s="49">
        <f t="shared" si="4"/>
        <v>0</v>
      </c>
      <c r="G42" s="49"/>
      <c r="H42" s="49"/>
      <c r="I42" s="49"/>
      <c r="J42" s="49"/>
      <c r="K42" s="48"/>
      <c r="M42" s="8"/>
    </row>
    <row r="43" spans="1:13" x14ac:dyDescent="0.3">
      <c r="A43" s="15"/>
      <c r="B43" s="50" t="s">
        <v>65</v>
      </c>
      <c r="C43" s="51"/>
      <c r="D43" s="52">
        <f>+D13+D20+D24+D32+D39</f>
        <v>9107421</v>
      </c>
      <c r="E43" s="52">
        <f>+E13+E20+E24+E32+E39</f>
        <v>5579289</v>
      </c>
      <c r="F43" s="52">
        <f t="shared" si="4"/>
        <v>3528132</v>
      </c>
      <c r="G43" s="52"/>
      <c r="H43" s="52"/>
      <c r="I43" s="52"/>
      <c r="J43" s="52"/>
      <c r="K43" s="51"/>
      <c r="M43" s="8"/>
    </row>
    <row r="44" spans="1:13" x14ac:dyDescent="0.3">
      <c r="A44" s="15"/>
      <c r="B44" s="27"/>
      <c r="C44" s="8"/>
      <c r="D44" s="60">
        <f>+D41+D42-D43</f>
        <v>0</v>
      </c>
      <c r="E44" s="60">
        <f>+E41+E42-E43</f>
        <v>0</v>
      </c>
      <c r="F44" s="60"/>
      <c r="G44" s="60"/>
      <c r="H44" s="60"/>
      <c r="I44" s="60"/>
      <c r="J44" s="60"/>
      <c r="K44" s="8"/>
    </row>
    <row r="45" spans="1:13" x14ac:dyDescent="0.3">
      <c r="A45" s="15" t="s">
        <v>55</v>
      </c>
      <c r="B45" s="29" t="s">
        <v>51</v>
      </c>
      <c r="C45" s="15"/>
      <c r="D45" s="15"/>
      <c r="E45" s="15"/>
      <c r="F45" s="15"/>
      <c r="G45" s="15"/>
      <c r="H45" s="15"/>
      <c r="I45" s="15"/>
      <c r="J45" s="15"/>
      <c r="K45" s="15"/>
    </row>
    <row r="46" spans="1:13" x14ac:dyDescent="0.3">
      <c r="A46" s="15"/>
      <c r="B46" s="15" t="s">
        <v>53</v>
      </c>
    </row>
    <row r="47" spans="1:13" x14ac:dyDescent="0.3">
      <c r="B47" s="15" t="s">
        <v>56</v>
      </c>
    </row>
    <row r="48" spans="1:13" x14ac:dyDescent="0.3">
      <c r="B48" t="s">
        <v>58</v>
      </c>
    </row>
    <row r="49" spans="2:2" x14ac:dyDescent="0.3">
      <c r="B49" t="s">
        <v>60</v>
      </c>
    </row>
    <row r="50" spans="2:2" x14ac:dyDescent="0.3">
      <c r="B50" t="s">
        <v>64</v>
      </c>
    </row>
    <row r="51" spans="2:2" x14ac:dyDescent="0.3">
      <c r="B51" t="s">
        <v>97</v>
      </c>
    </row>
    <row r="52" spans="2:2" x14ac:dyDescent="0.3"/>
    <row r="53" spans="2:2" x14ac:dyDescent="0.3"/>
    <row r="54" spans="2:2" x14ac:dyDescent="0.3"/>
    <row r="55" spans="2:2" x14ac:dyDescent="0.3"/>
    <row r="56" spans="2:2" x14ac:dyDescent="0.3"/>
    <row r="57" spans="2:2" x14ac:dyDescent="0.3"/>
    <row r="58" spans="2:2" x14ac:dyDescent="0.3"/>
    <row r="59" spans="2:2" x14ac:dyDescent="0.3"/>
    <row r="60" spans="2:2" x14ac:dyDescent="0.3"/>
    <row r="61" spans="2:2" x14ac:dyDescent="0.3"/>
    <row r="62" spans="2:2" x14ac:dyDescent="0.3"/>
    <row r="63" spans="2:2" x14ac:dyDescent="0.3"/>
    <row r="64" spans="2:2" x14ac:dyDescent="0.3"/>
    <row r="65" x14ac:dyDescent="0.3"/>
    <row r="66" x14ac:dyDescent="0.3"/>
    <row r="67" x14ac:dyDescent="0.3"/>
    <row r="68" x14ac:dyDescent="0.3"/>
    <row r="69" x14ac:dyDescent="0.3"/>
    <row r="70" x14ac:dyDescent="0.3"/>
    <row r="7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96042-69EB-458F-BB4A-951BC50673EF}">
  <dimension ref="A2:F48"/>
  <sheetViews>
    <sheetView showGridLines="0" zoomScale="85" zoomScaleNormal="85" workbookViewId="0"/>
  </sheetViews>
  <sheetFormatPr defaultRowHeight="14.4" x14ac:dyDescent="0.3"/>
  <cols>
    <col min="2" max="2" width="32.6640625" customWidth="1"/>
    <col min="3" max="3" width="15.21875" customWidth="1"/>
    <col min="4" max="4" width="12.6640625" customWidth="1"/>
    <col min="5" max="5" width="10.6640625" customWidth="1"/>
    <col min="6" max="6" width="79.5546875" customWidth="1"/>
  </cols>
  <sheetData>
    <row r="2" spans="1:6" ht="31.2" x14ac:dyDescent="0.3">
      <c r="B2" s="1" t="s">
        <v>0</v>
      </c>
    </row>
    <row r="3" spans="1:6" ht="23.4" x14ac:dyDescent="0.3">
      <c r="B3" s="2" t="s">
        <v>1</v>
      </c>
    </row>
    <row r="4" spans="1:6" x14ac:dyDescent="0.3">
      <c r="B4" t="s">
        <v>2</v>
      </c>
    </row>
    <row r="6" spans="1:6" ht="35.1" customHeight="1" x14ac:dyDescent="0.3">
      <c r="A6" s="15" t="s">
        <v>55</v>
      </c>
      <c r="B6" s="3" t="s">
        <v>3</v>
      </c>
      <c r="C6" s="3" t="s">
        <v>4</v>
      </c>
      <c r="D6" s="4" t="s">
        <v>45</v>
      </c>
      <c r="E6" s="4" t="s">
        <v>52</v>
      </c>
      <c r="F6" s="4" t="s">
        <v>5</v>
      </c>
    </row>
    <row r="7" spans="1:6" x14ac:dyDescent="0.3">
      <c r="A7" s="15"/>
      <c r="B7" s="5"/>
      <c r="C7" s="5"/>
      <c r="D7" s="6"/>
      <c r="E7" s="6"/>
      <c r="F7" s="6"/>
    </row>
    <row r="8" spans="1:6" x14ac:dyDescent="0.3">
      <c r="A8" s="15"/>
      <c r="B8" s="7" t="s">
        <v>6</v>
      </c>
      <c r="C8" s="8"/>
      <c r="D8" s="8"/>
      <c r="E8" s="8"/>
      <c r="F8" s="8"/>
    </row>
    <row r="9" spans="1:6" ht="43.2" x14ac:dyDescent="0.3">
      <c r="A9" s="15"/>
      <c r="B9" s="36" t="s">
        <v>7</v>
      </c>
      <c r="C9" s="37" t="s">
        <v>8</v>
      </c>
      <c r="D9" s="38">
        <v>500000</v>
      </c>
      <c r="E9" s="38">
        <v>43855</v>
      </c>
      <c r="F9" s="37" t="s">
        <v>9</v>
      </c>
    </row>
    <row r="10" spans="1:6" ht="48.75" customHeight="1" x14ac:dyDescent="0.3">
      <c r="A10" s="15"/>
      <c r="B10" s="23" t="s">
        <v>10</v>
      </c>
      <c r="C10" s="16" t="s">
        <v>8</v>
      </c>
      <c r="D10" s="17">
        <v>530000</v>
      </c>
      <c r="E10" s="17">
        <v>53000</v>
      </c>
      <c r="F10" s="16" t="s">
        <v>11</v>
      </c>
    </row>
    <row r="11" spans="1:6" ht="28.8" x14ac:dyDescent="0.3">
      <c r="A11" s="15"/>
      <c r="B11" s="39" t="s">
        <v>54</v>
      </c>
      <c r="C11" s="40" t="s">
        <v>72</v>
      </c>
      <c r="D11" s="41">
        <v>540000</v>
      </c>
      <c r="E11" s="41">
        <v>0</v>
      </c>
      <c r="F11" s="40" t="s">
        <v>12</v>
      </c>
    </row>
    <row r="12" spans="1:6" x14ac:dyDescent="0.3">
      <c r="A12" s="15"/>
      <c r="B12" s="33" t="s">
        <v>49</v>
      </c>
      <c r="C12" s="34"/>
      <c r="D12" s="35">
        <f>SUM(D9:D11)</f>
        <v>1570000</v>
      </c>
      <c r="E12" s="35">
        <f>SUM(E9:E11)</f>
        <v>96855</v>
      </c>
      <c r="F12" s="34"/>
    </row>
    <row r="13" spans="1:6" x14ac:dyDescent="0.3">
      <c r="A13" s="15"/>
      <c r="B13" s="8"/>
      <c r="C13" s="8"/>
      <c r="D13" s="12"/>
      <c r="E13" s="12"/>
      <c r="F13" s="8"/>
    </row>
    <row r="14" spans="1:6" x14ac:dyDescent="0.3">
      <c r="A14" s="15"/>
      <c r="B14" s="7" t="s">
        <v>13</v>
      </c>
      <c r="C14" s="8"/>
      <c r="D14" s="13"/>
      <c r="E14" s="13"/>
      <c r="F14" s="8"/>
    </row>
    <row r="15" spans="1:6" ht="57.6" x14ac:dyDescent="0.3">
      <c r="A15" s="15"/>
      <c r="B15" s="36" t="s">
        <v>57</v>
      </c>
      <c r="C15" s="37" t="s">
        <v>14</v>
      </c>
      <c r="D15" s="38">
        <v>250000</v>
      </c>
      <c r="E15" s="38">
        <f>136189+51424</f>
        <v>187613</v>
      </c>
      <c r="F15" s="37" t="s">
        <v>15</v>
      </c>
    </row>
    <row r="16" spans="1:6" ht="49.5" customHeight="1" x14ac:dyDescent="0.3">
      <c r="A16" s="15"/>
      <c r="B16" s="25" t="s">
        <v>16</v>
      </c>
      <c r="C16" s="18" t="s">
        <v>17</v>
      </c>
      <c r="D16" s="19">
        <v>200000</v>
      </c>
      <c r="E16" s="19">
        <v>132000</v>
      </c>
      <c r="F16" s="18" t="s">
        <v>18</v>
      </c>
    </row>
    <row r="17" spans="1:6" ht="48.75" customHeight="1" x14ac:dyDescent="0.3">
      <c r="A17" s="15"/>
      <c r="B17" s="42" t="s">
        <v>19</v>
      </c>
      <c r="C17" s="43" t="s">
        <v>17</v>
      </c>
      <c r="D17" s="44">
        <v>500000</v>
      </c>
      <c r="E17" s="44">
        <v>0</v>
      </c>
      <c r="F17" s="43" t="s">
        <v>20</v>
      </c>
    </row>
    <row r="18" spans="1:6" ht="43.2" x14ac:dyDescent="0.3">
      <c r="A18" s="15"/>
      <c r="B18" s="26" t="s">
        <v>59</v>
      </c>
      <c r="C18" s="21" t="s">
        <v>50</v>
      </c>
      <c r="D18" s="22">
        <v>270000</v>
      </c>
      <c r="E18" s="22">
        <v>0</v>
      </c>
      <c r="F18" s="20" t="s">
        <v>25</v>
      </c>
    </row>
    <row r="19" spans="1:6" x14ac:dyDescent="0.3">
      <c r="A19" s="15"/>
      <c r="B19" s="33" t="s">
        <v>49</v>
      </c>
      <c r="C19" s="34"/>
      <c r="D19" s="35">
        <f>SUM(D15:D18)</f>
        <v>1220000</v>
      </c>
      <c r="E19" s="35">
        <f>SUM(E15:E18)</f>
        <v>319613</v>
      </c>
      <c r="F19" s="34"/>
    </row>
    <row r="20" spans="1:6" x14ac:dyDescent="0.3">
      <c r="A20" s="15"/>
      <c r="B20" s="8"/>
      <c r="C20" s="14"/>
      <c r="D20" s="12"/>
      <c r="E20" s="13"/>
      <c r="F20" s="8"/>
    </row>
    <row r="21" spans="1:6" x14ac:dyDescent="0.3">
      <c r="A21" s="15"/>
      <c r="B21" s="7" t="s">
        <v>21</v>
      </c>
      <c r="C21" s="8"/>
      <c r="D21" s="13"/>
      <c r="E21" s="13"/>
      <c r="F21" s="8"/>
    </row>
    <row r="22" spans="1:6" ht="48.75" customHeight="1" x14ac:dyDescent="0.3">
      <c r="A22" s="15"/>
      <c r="B22" s="24" t="s">
        <v>22</v>
      </c>
      <c r="C22" s="10" t="s">
        <v>23</v>
      </c>
      <c r="D22" s="11">
        <v>2000000</v>
      </c>
      <c r="E22" s="11">
        <v>601400</v>
      </c>
      <c r="F22" s="10" t="s">
        <v>24</v>
      </c>
    </row>
    <row r="23" spans="1:6" x14ac:dyDescent="0.3">
      <c r="A23" s="15"/>
      <c r="B23" s="33" t="s">
        <v>49</v>
      </c>
      <c r="C23" s="34"/>
      <c r="D23" s="35">
        <f>SUM(D22)</f>
        <v>2000000</v>
      </c>
      <c r="E23" s="35">
        <f>SUM(E22)</f>
        <v>601400</v>
      </c>
      <c r="F23" s="34"/>
    </row>
    <row r="24" spans="1:6" x14ac:dyDescent="0.3">
      <c r="A24" s="15"/>
      <c r="B24" s="8"/>
      <c r="C24" s="8"/>
      <c r="D24" s="9"/>
      <c r="E24" s="9"/>
      <c r="F24" s="8"/>
    </row>
    <row r="25" spans="1:6" x14ac:dyDescent="0.3">
      <c r="A25" s="15"/>
      <c r="B25" s="7" t="s">
        <v>26</v>
      </c>
      <c r="C25" s="8"/>
      <c r="D25" s="13"/>
      <c r="E25" s="13"/>
      <c r="F25" s="8"/>
    </row>
    <row r="26" spans="1:6" ht="63.75" customHeight="1" x14ac:dyDescent="0.3">
      <c r="A26" s="15"/>
      <c r="B26" s="36" t="s">
        <v>27</v>
      </c>
      <c r="C26" s="37" t="s">
        <v>28</v>
      </c>
      <c r="D26" s="38">
        <v>500000</v>
      </c>
      <c r="E26" s="38">
        <v>500000</v>
      </c>
      <c r="F26" s="37" t="s">
        <v>29</v>
      </c>
    </row>
    <row r="27" spans="1:6" ht="48.75" customHeight="1" x14ac:dyDescent="0.3">
      <c r="A27" s="15"/>
      <c r="B27" s="25" t="s">
        <v>30</v>
      </c>
      <c r="C27" s="18" t="s">
        <v>31</v>
      </c>
      <c r="D27" s="19">
        <v>1000000</v>
      </c>
      <c r="E27" s="19">
        <v>1000000</v>
      </c>
      <c r="F27" s="18" t="s">
        <v>32</v>
      </c>
    </row>
    <row r="28" spans="1:6" ht="63.75" customHeight="1" x14ac:dyDescent="0.3">
      <c r="A28" s="15"/>
      <c r="B28" s="42" t="s">
        <v>33</v>
      </c>
      <c r="C28" s="43" t="s">
        <v>46</v>
      </c>
      <c r="D28" s="44">
        <v>1000000</v>
      </c>
      <c r="E28" s="44">
        <v>1000000</v>
      </c>
      <c r="F28" s="43" t="s">
        <v>34</v>
      </c>
    </row>
    <row r="29" spans="1:6" ht="28.8" x14ac:dyDescent="0.3">
      <c r="A29" s="15"/>
      <c r="B29" s="25" t="s">
        <v>35</v>
      </c>
      <c r="C29" s="18" t="s">
        <v>47</v>
      </c>
      <c r="D29" s="19">
        <v>250000</v>
      </c>
      <c r="E29" s="19">
        <v>250000</v>
      </c>
      <c r="F29" s="18" t="s">
        <v>36</v>
      </c>
    </row>
    <row r="30" spans="1:6" ht="33" customHeight="1" x14ac:dyDescent="0.3">
      <c r="A30" s="15"/>
      <c r="B30" s="53" t="s">
        <v>37</v>
      </c>
      <c r="C30" s="45" t="s">
        <v>14</v>
      </c>
      <c r="D30" s="46">
        <v>44421</v>
      </c>
      <c r="E30" s="46">
        <v>44421</v>
      </c>
      <c r="F30" s="45" t="s">
        <v>38</v>
      </c>
    </row>
    <row r="31" spans="1:6" x14ac:dyDescent="0.3">
      <c r="A31" s="15"/>
      <c r="B31" s="33" t="s">
        <v>49</v>
      </c>
      <c r="C31" s="34"/>
      <c r="D31" s="35">
        <f>SUM(D26:D30)</f>
        <v>2794421</v>
      </c>
      <c r="E31" s="35">
        <f>SUM(E26:E30)</f>
        <v>2794421</v>
      </c>
      <c r="F31" s="34"/>
    </row>
    <row r="32" spans="1:6" x14ac:dyDescent="0.3">
      <c r="A32" s="15"/>
      <c r="B32" s="8"/>
      <c r="C32" s="8"/>
      <c r="D32" s="9"/>
      <c r="E32" s="9"/>
      <c r="F32" s="8"/>
    </row>
    <row r="33" spans="1:6" x14ac:dyDescent="0.3">
      <c r="A33" s="15"/>
      <c r="B33" s="7" t="s">
        <v>48</v>
      </c>
      <c r="C33" s="8"/>
      <c r="D33" s="13"/>
      <c r="E33" s="13"/>
      <c r="F33" s="8"/>
    </row>
    <row r="34" spans="1:6" ht="33.75" customHeight="1" x14ac:dyDescent="0.3">
      <c r="A34" s="15"/>
      <c r="B34" s="36" t="s">
        <v>39</v>
      </c>
      <c r="C34" s="37" t="s">
        <v>40</v>
      </c>
      <c r="D34" s="38">
        <v>1002000</v>
      </c>
      <c r="E34" s="38">
        <v>1002000</v>
      </c>
      <c r="F34" s="37" t="s">
        <v>41</v>
      </c>
    </row>
    <row r="35" spans="1:6" ht="48.75" customHeight="1" x14ac:dyDescent="0.3">
      <c r="A35" s="15"/>
      <c r="B35" s="26" t="s">
        <v>42</v>
      </c>
      <c r="C35" s="20" t="s">
        <v>8</v>
      </c>
      <c r="D35" s="22">
        <v>201000</v>
      </c>
      <c r="E35" s="22">
        <v>201000</v>
      </c>
      <c r="F35" s="20" t="s">
        <v>43</v>
      </c>
    </row>
    <row r="36" spans="1:6" x14ac:dyDescent="0.3">
      <c r="A36" s="15"/>
      <c r="B36" s="33" t="s">
        <v>49</v>
      </c>
      <c r="C36" s="34"/>
      <c r="D36" s="35">
        <f>SUM(D34:D35)</f>
        <v>1203000</v>
      </c>
      <c r="E36" s="35">
        <f>SUM(E34:E35)</f>
        <v>1203000</v>
      </c>
      <c r="F36" s="34"/>
    </row>
    <row r="37" spans="1:6" x14ac:dyDescent="0.3">
      <c r="A37" s="15"/>
      <c r="B37" s="27"/>
      <c r="C37" s="8"/>
      <c r="D37" s="28"/>
      <c r="E37" s="28"/>
      <c r="F37" s="8"/>
    </row>
    <row r="38" spans="1:6" ht="20.100000000000001" customHeight="1" x14ac:dyDescent="0.3">
      <c r="A38" s="15"/>
      <c r="B38" s="30" t="s">
        <v>61</v>
      </c>
      <c r="C38" s="31"/>
      <c r="D38" s="32">
        <f>+D12+D16+D17+D22+D28/2+D29+D34+D35</f>
        <v>6223000</v>
      </c>
      <c r="E38" s="32">
        <f>+E12+E16+E17+E22+E28/2+E29+E34+E35</f>
        <v>2783255</v>
      </c>
      <c r="F38" s="31"/>
    </row>
    <row r="39" spans="1:6" ht="20.100000000000001" customHeight="1" x14ac:dyDescent="0.3">
      <c r="A39" s="15"/>
      <c r="B39" s="47" t="s">
        <v>62</v>
      </c>
      <c r="C39" s="48"/>
      <c r="D39" s="49">
        <f>+D15+D18+D26+D27+D28/2+D30</f>
        <v>2564421</v>
      </c>
      <c r="E39" s="49">
        <f>+E15+E18+E26+E27+E28/2+E30</f>
        <v>2232034</v>
      </c>
      <c r="F39" s="48"/>
    </row>
    <row r="40" spans="1:6" x14ac:dyDescent="0.3">
      <c r="A40" s="15"/>
      <c r="B40" s="50" t="s">
        <v>65</v>
      </c>
      <c r="C40" s="51"/>
      <c r="D40" s="52">
        <f>+D12+D19+D23+D31+D36</f>
        <v>8787421</v>
      </c>
      <c r="E40" s="52">
        <f>+E12+E19+E23+E31+E36</f>
        <v>5015289</v>
      </c>
      <c r="F40" s="51"/>
    </row>
    <row r="41" spans="1:6" x14ac:dyDescent="0.3">
      <c r="A41" s="15"/>
      <c r="B41" s="27"/>
      <c r="C41" s="8"/>
      <c r="D41" s="28"/>
      <c r="E41" s="28"/>
      <c r="F41" s="8"/>
    </row>
    <row r="42" spans="1:6" x14ac:dyDescent="0.3">
      <c r="A42" s="15" t="s">
        <v>55</v>
      </c>
      <c r="B42" s="29" t="s">
        <v>51</v>
      </c>
      <c r="C42" s="15"/>
      <c r="D42" s="15"/>
      <c r="E42" s="15"/>
      <c r="F42" s="15"/>
    </row>
    <row r="43" spans="1:6" x14ac:dyDescent="0.3">
      <c r="A43" s="15"/>
      <c r="B43" s="15" t="s">
        <v>53</v>
      </c>
    </row>
    <row r="44" spans="1:6" x14ac:dyDescent="0.3">
      <c r="B44" s="15" t="s">
        <v>56</v>
      </c>
    </row>
    <row r="45" spans="1:6" x14ac:dyDescent="0.3">
      <c r="B45" t="s">
        <v>58</v>
      </c>
    </row>
    <row r="46" spans="1:6" x14ac:dyDescent="0.3">
      <c r="B46" t="s">
        <v>60</v>
      </c>
    </row>
    <row r="47" spans="1:6" x14ac:dyDescent="0.3">
      <c r="B47" t="s">
        <v>64</v>
      </c>
    </row>
    <row r="48" spans="1:6" x14ac:dyDescent="0.3">
      <c r="B4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Allocation Summary</vt:lpstr>
      <vt:lpstr>Detail May2025</vt:lpstr>
      <vt:lpstr>Detail Dec2024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Silva</dc:creator>
  <cp:lastModifiedBy>Daniel Silva</cp:lastModifiedBy>
  <dcterms:created xsi:type="dcterms:W3CDTF">2025-04-02T20:26:57Z</dcterms:created>
  <dcterms:modified xsi:type="dcterms:W3CDTF">2025-06-05T23:48:01Z</dcterms:modified>
</cp:coreProperties>
</file>